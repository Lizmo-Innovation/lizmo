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Epics" sheetId="2" state="visible" r:id="rId2"/>
    <sheet name="Legend" sheetId="3" state="visible" r:id="rId3"/>
  </sheets>
  <definedNames>
    <definedName name="_xlnm._FilterDatabase" localSheetId="0" hidden="1">'Backlog'!$A$1:$I$81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E5C52"/>
      <sz val="10"/>
    </font>
    <font>
      <name val="Arial"/>
      <b val="1"/>
      <color rgb="006B7B77"/>
      <sz val="10"/>
    </font>
    <font>
      <name val="Arial"/>
      <b val="1"/>
      <color rgb="008A5A0A"/>
      <sz val="10"/>
    </font>
    <font>
      <name val="Arial"/>
      <b val="1"/>
      <color rgb="00FF6952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0E5C52"/>
      </patternFill>
    </fill>
    <fill>
      <patternFill patternType="solid">
        <fgColor rgb="00DEF2EC"/>
      </patternFill>
    </fill>
    <fill>
      <patternFill patternType="solid">
        <fgColor rgb="00EFF2F1"/>
      </patternFill>
    </fill>
    <fill>
      <patternFill patternType="solid">
        <fgColor rgb="00FDF1DC"/>
      </patternFill>
    </fill>
    <fill>
      <patternFill patternType="solid">
        <fgColor rgb="00DCEEE9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164" fontId="3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58" customWidth="1" min="4" max="4"/>
    <col width="12" customWidth="1" min="5" max="5"/>
    <col width="9" customWidth="1" min="6" max="6"/>
    <col width="8" customWidth="1" min="7" max="7"/>
    <col width="13" customWidth="1" min="8" max="8"/>
    <col width="12" customWidth="1" min="9" max="9"/>
  </cols>
  <sheetData>
    <row r="1" ht="30" customHeight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Component</t>
        </is>
      </c>
      <c r="F1" s="1" t="inlineStr">
        <is>
          <t>Priority</t>
        </is>
      </c>
      <c r="G1" s="1" t="inlineStr">
        <is>
          <t>Points</t>
        </is>
      </c>
      <c r="H1" s="1" t="inlineStr">
        <is>
          <t>Status</t>
        </is>
      </c>
      <c r="I1" s="1" t="inlineStr">
        <is>
          <t>Spec ref</t>
        </is>
      </c>
    </row>
    <row r="2">
      <c r="A2" s="2" t="inlineStr">
        <is>
          <t>LZ-001</t>
        </is>
      </c>
      <c r="B2" s="3" t="inlineStr">
        <is>
          <t>Foundation &amp; Developer Experience</t>
        </is>
      </c>
      <c r="C2" s="4" t="inlineStr">
        <is>
          <t>As a developer, I want a one-command local stack so that I can run the whole system without manual setup</t>
        </is>
      </c>
      <c r="D2" s="4" t="inlineStr">
        <is>
          <t>docker compose up brings up Postgres, LocalStack and the API; API health returns UP</t>
        </is>
      </c>
      <c r="E2" s="3" t="inlineStr">
        <is>
          <t>Infra</t>
        </is>
      </c>
      <c r="F2" s="3" t="inlineStr">
        <is>
          <t>Must</t>
        </is>
      </c>
      <c r="G2" s="5" t="n">
        <v>5</v>
      </c>
      <c r="H2" s="6" t="inlineStr">
        <is>
          <t>Done</t>
        </is>
      </c>
      <c r="I2" s="3" t="inlineStr">
        <is>
          <t>Tech §5</t>
        </is>
      </c>
    </row>
    <row r="3">
      <c r="A3" s="2" t="inlineStr">
        <is>
          <t>LZ-002</t>
        </is>
      </c>
      <c r="B3" s="3" t="inlineStr">
        <is>
          <t>Foundation &amp; Developer Experience</t>
        </is>
      </c>
      <c r="C3" s="4" t="inlineStr">
        <is>
          <t>As a developer, I want the database schema created automatically so that environments never drift</t>
        </is>
      </c>
      <c r="D3" s="4" t="inlineStr">
        <is>
          <t>Flyway applies V1 on startup; all 21 tables present; re-runs are no-ops</t>
        </is>
      </c>
      <c r="E3" s="3" t="inlineStr">
        <is>
          <t>Backend</t>
        </is>
      </c>
      <c r="F3" s="3" t="inlineStr">
        <is>
          <t>Must</t>
        </is>
      </c>
      <c r="G3" s="5" t="n">
        <v>8</v>
      </c>
      <c r="H3" s="6" t="inlineStr">
        <is>
          <t>Done</t>
        </is>
      </c>
      <c r="I3" s="3" t="inlineStr">
        <is>
          <t>Tech §2</t>
        </is>
      </c>
    </row>
    <row r="4">
      <c r="A4" s="2" t="inlineStr">
        <is>
          <t>LZ-003</t>
        </is>
      </c>
      <c r="B4" s="3" t="inlineStr">
        <is>
          <t>Foundation &amp; Developer Experience</t>
        </is>
      </c>
      <c r="C4" s="4" t="inlineStr">
        <is>
          <t>As a developer, I want enum columns that map cleanly to JPA so that entities need no casting</t>
        </is>
      </c>
      <c r="D4" s="4" t="inlineStr">
        <is>
          <t>Native enums replaced by varchar + CHECK; defaults and partial index preserved</t>
        </is>
      </c>
      <c r="E4" s="3" t="inlineStr">
        <is>
          <t>Backend</t>
        </is>
      </c>
      <c r="F4" s="3" t="inlineStr">
        <is>
          <t>Must</t>
        </is>
      </c>
      <c r="G4" s="5" t="n">
        <v>3</v>
      </c>
      <c r="H4" s="6" t="inlineStr">
        <is>
          <t>Done</t>
        </is>
      </c>
      <c r="I4" s="3" t="inlineStr">
        <is>
          <t>Tech §2</t>
        </is>
      </c>
    </row>
    <row r="5">
      <c r="A5" s="2" t="inlineStr">
        <is>
          <t>LZ-004</t>
        </is>
      </c>
      <c r="B5" s="3" t="inlineStr">
        <is>
          <t>Foundation &amp; Developer Experience</t>
        </is>
      </c>
      <c r="C5" s="4" t="inlineStr">
        <is>
          <t>As a client developer, I want one error shape across every endpoint so that I parse errors in one place</t>
        </is>
      </c>
      <c r="D5" s="4" t="inlineStr">
        <is>
          <t>All errors return code/message/fields/timestamp; codes are stable and documented</t>
        </is>
      </c>
      <c r="E5" s="3" t="inlineStr">
        <is>
          <t>Backend</t>
        </is>
      </c>
      <c r="F5" s="3" t="inlineStr">
        <is>
          <t>Must</t>
        </is>
      </c>
      <c r="G5" s="5" t="n">
        <v>3</v>
      </c>
      <c r="H5" s="6" t="inlineStr">
        <is>
          <t>Done</t>
        </is>
      </c>
      <c r="I5" s="3" t="inlineStr">
        <is>
          <t>—</t>
        </is>
      </c>
    </row>
    <row r="6">
      <c r="A6" s="2" t="inlineStr">
        <is>
          <t>LZ-005</t>
        </is>
      </c>
      <c r="B6" s="3" t="inlineStr">
        <is>
          <t>Foundation &amp; Developer Experience</t>
        </is>
      </c>
      <c r="C6" s="4" t="inlineStr">
        <is>
          <t>As a client developer, I want a generated API client so that backend and app cannot drift</t>
        </is>
      </c>
      <c r="D6" s="4" t="inlineStr">
        <is>
          <t>OpenAPI served at /v3/api-docs; Dart client generated from it; regeneration documented</t>
        </is>
      </c>
      <c r="E6" s="3" t="inlineStr">
        <is>
          <t>Shared</t>
        </is>
      </c>
      <c r="F6" s="3" t="inlineStr">
        <is>
          <t>Must</t>
        </is>
      </c>
      <c r="G6" s="5" t="n">
        <v>5</v>
      </c>
      <c r="H6" s="6" t="inlineStr">
        <is>
          <t>Done</t>
        </is>
      </c>
      <c r="I6" s="3" t="inlineStr">
        <is>
          <t>—</t>
        </is>
      </c>
    </row>
    <row r="7">
      <c r="A7" s="2" t="inlineStr">
        <is>
          <t>LZ-006</t>
        </is>
      </c>
      <c r="B7" s="3" t="inlineStr">
        <is>
          <t>Foundation &amp; Developer Experience</t>
        </is>
      </c>
      <c r="C7" s="4" t="inlineStr">
        <is>
          <t>As a developer, I want CI on every push so that regressions are caught before merge</t>
        </is>
      </c>
      <c r="D7" s="4" t="inlineStr">
        <is>
          <t>Backend and Flutter tests run on push; failures block the merge</t>
        </is>
      </c>
      <c r="E7" s="3" t="inlineStr">
        <is>
          <t>Infra</t>
        </is>
      </c>
      <c r="F7" s="3" t="inlineStr">
        <is>
          <t>Must</t>
        </is>
      </c>
      <c r="G7" s="5" t="n">
        <v>3</v>
      </c>
      <c r="H7" s="7" t="inlineStr">
        <is>
          <t>Not Started</t>
        </is>
      </c>
      <c r="I7" s="3" t="inlineStr">
        <is>
          <t>—</t>
        </is>
      </c>
    </row>
    <row r="8">
      <c r="A8" s="2" t="inlineStr">
        <is>
          <t>LZ-007</t>
        </is>
      </c>
      <c r="B8" s="3" t="inlineStr">
        <is>
          <t>Foundation &amp; Developer Experience</t>
        </is>
      </c>
      <c r="C8" s="4" t="inlineStr">
        <is>
          <t>As a developer, I want seed data so that screens can be built against realistic records</t>
        </is>
      </c>
      <c r="D8" s="4" t="inlineStr">
        <is>
          <t>One landlord, one property with a bedspace and a whole unit, leases and billing periods</t>
        </is>
      </c>
      <c r="E8" s="3" t="inlineStr">
        <is>
          <t>Backend</t>
        </is>
      </c>
      <c r="F8" s="3" t="inlineStr">
        <is>
          <t>Should</t>
        </is>
      </c>
      <c r="G8" s="5" t="n">
        <v>3</v>
      </c>
      <c r="H8" s="7" t="inlineStr">
        <is>
          <t>Not Started</t>
        </is>
      </c>
      <c r="I8" s="3" t="inlineStr">
        <is>
          <t>—</t>
        </is>
      </c>
    </row>
    <row r="9">
      <c r="A9" s="2" t="inlineStr">
        <is>
          <t>LZ-008</t>
        </is>
      </c>
      <c r="B9" s="3" t="inlineStr">
        <is>
          <t>Foundation &amp; Developer Experience</t>
        </is>
      </c>
      <c r="C9" s="4" t="inlineStr">
        <is>
          <t>As a developer, I want integration tests against real Postgres so that schema constraints are exercised</t>
        </is>
      </c>
      <c r="D9" s="4" t="inlineStr">
        <is>
          <t>Testcontainers suite runs in CI; partial indexes and CHECKs are covered</t>
        </is>
      </c>
      <c r="E9" s="3" t="inlineStr">
        <is>
          <t>Backend</t>
        </is>
      </c>
      <c r="F9" s="3" t="inlineStr">
        <is>
          <t>Must</t>
        </is>
      </c>
      <c r="G9" s="5" t="n">
        <v>5</v>
      </c>
      <c r="H9" s="8" t="inlineStr">
        <is>
          <t>In Progress</t>
        </is>
      </c>
      <c r="I9" s="3" t="inlineStr">
        <is>
          <t>—</t>
        </is>
      </c>
    </row>
    <row r="10">
      <c r="A10" s="2" t="inlineStr">
        <is>
          <t>LZ-009</t>
        </is>
      </c>
      <c r="B10" s="3" t="inlineStr">
        <is>
          <t>Foundation &amp; Developer Experience</t>
        </is>
      </c>
      <c r="C10" s="4" t="inlineStr">
        <is>
          <t>As a developer, I want money and date conventions fixed so that rounding never drifts</t>
        </is>
      </c>
      <c r="D10" s="4" t="inlineStr">
        <is>
          <t>BigDecimal for peso amounts, LocalDate for due dates, UTC for instants; documented</t>
        </is>
      </c>
      <c r="E10" s="3" t="inlineStr">
        <is>
          <t>Backend</t>
        </is>
      </c>
      <c r="F10" s="3" t="inlineStr">
        <is>
          <t>Should</t>
        </is>
      </c>
      <c r="G10" s="5" t="n">
        <v>2</v>
      </c>
      <c r="H10" s="7" t="inlineStr">
        <is>
          <t>Not Started</t>
        </is>
      </c>
      <c r="I10" s="3" t="inlineStr">
        <is>
          <t>Tech §7</t>
        </is>
      </c>
    </row>
    <row r="11">
      <c r="A11" s="2" t="inlineStr">
        <is>
          <t>LZ-010</t>
        </is>
      </c>
      <c r="B11" s="3" t="inlineStr">
        <is>
          <t>Design System</t>
        </is>
      </c>
      <c r="C11" s="4" t="inlineStr">
        <is>
          <t>As a designer, I want the design language as code so that both apps look like one product</t>
        </is>
      </c>
      <c r="D11" s="4" t="inlineStr">
        <is>
          <t>Colour and type tokens match design language v2; shared package consumed by both apps</t>
        </is>
      </c>
      <c r="E11" s="3" t="inlineStr">
        <is>
          <t>Shared</t>
        </is>
      </c>
      <c r="F11" s="3" t="inlineStr">
        <is>
          <t>Must</t>
        </is>
      </c>
      <c r="G11" s="5" t="n">
        <v>5</v>
      </c>
      <c r="H11" s="6" t="inlineStr">
        <is>
          <t>Done</t>
        </is>
      </c>
      <c r="I11" s="3" t="inlineStr">
        <is>
          <t>Design v2</t>
        </is>
      </c>
    </row>
    <row r="12">
      <c r="A12" s="2" t="inlineStr">
        <is>
          <t>LZ-011</t>
        </is>
      </c>
      <c r="B12" s="3" t="inlineStr">
        <is>
          <t>Design System</t>
        </is>
      </c>
      <c r="C12" s="4" t="inlineStr">
        <is>
          <t>As a landlord, I want status shown consistently so that I can scan a long list quickly</t>
        </is>
      </c>
      <c r="D12" s="4" t="inlineStr">
        <is>
          <t>Dot+pill chip; teal=paid, amber=pending, red=overdue; mapping covered by tests</t>
        </is>
      </c>
      <c r="E12" s="3" t="inlineStr">
        <is>
          <t>Shared</t>
        </is>
      </c>
      <c r="F12" s="3" t="inlineStr">
        <is>
          <t>Must</t>
        </is>
      </c>
      <c r="G12" s="5" t="n">
        <v>2</v>
      </c>
      <c r="H12" s="6" t="inlineStr">
        <is>
          <t>Done</t>
        </is>
      </c>
      <c r="I12" s="3" t="inlineStr">
        <is>
          <t>Design v2</t>
        </is>
      </c>
    </row>
    <row r="13">
      <c r="A13" s="2" t="inlineStr">
        <is>
          <t>LZ-012</t>
        </is>
      </c>
      <c r="B13" s="3" t="inlineStr">
        <is>
          <t>Design System</t>
        </is>
      </c>
      <c r="C13" s="4" t="inlineStr">
        <is>
          <t>As a user, I want the app to feel distinctly Filipino so that it does not read as generic software</t>
        </is>
      </c>
      <c r="D13" s="4" t="inlineStr">
        <is>
          <t>Capiz-lattice header renders at low contrast behind content on both apps</t>
        </is>
      </c>
      <c r="E13" s="3" t="inlineStr">
        <is>
          <t>Shared</t>
        </is>
      </c>
      <c r="F13" s="3" t="inlineStr">
        <is>
          <t>Should</t>
        </is>
      </c>
      <c r="G13" s="5" t="n">
        <v>3</v>
      </c>
      <c r="H13" s="6" t="inlineStr">
        <is>
          <t>Done</t>
        </is>
      </c>
      <c r="I13" s="3" t="inlineStr">
        <is>
          <t>Design v2</t>
        </is>
      </c>
    </row>
    <row r="14">
      <c r="A14" s="2" t="inlineStr">
        <is>
          <t>LZ-013</t>
        </is>
      </c>
      <c r="B14" s="3" t="inlineStr">
        <is>
          <t>Design System</t>
        </is>
      </c>
      <c r="C14" s="4" t="inlineStr">
        <is>
          <t>As a user, I want the app to render correctly offline so that type does not shift on first launch</t>
        </is>
      </c>
      <c r="D14" s="4" t="inlineStr">
        <is>
          <t>Space Grotesk, Manrope and IBM Plex Mono bundled as assets; goldens verify type</t>
        </is>
      </c>
      <c r="E14" s="3" t="inlineStr">
        <is>
          <t>Shared</t>
        </is>
      </c>
      <c r="F14" s="3" t="inlineStr">
        <is>
          <t>Should</t>
        </is>
      </c>
      <c r="G14" s="5" t="n">
        <v>3</v>
      </c>
      <c r="H14" s="7" t="inlineStr">
        <is>
          <t>Not Started</t>
        </is>
      </c>
      <c r="I14" s="3" t="inlineStr">
        <is>
          <t>Design v2</t>
        </is>
      </c>
    </row>
    <row r="15">
      <c r="A15" s="2" t="inlineStr">
        <is>
          <t>LZ-020</t>
        </is>
      </c>
      <c r="B15" s="3" t="inlineStr">
        <is>
          <t>Accounts &amp; Access</t>
        </is>
      </c>
      <c r="C15" s="4" t="inlineStr">
        <is>
          <t>As a new user, I want to create an account with email or phone so that I can use Lizmo without an email address</t>
        </is>
      </c>
      <c r="D15" s="4" t="inlineStr">
        <is>
          <t>Either identifier accepted; duplicate gives a specific code; tenant profile always created</t>
        </is>
      </c>
      <c r="E15" s="3" t="inlineStr">
        <is>
          <t>Backend</t>
        </is>
      </c>
      <c r="F15" s="3" t="inlineStr">
        <is>
          <t>Must</t>
        </is>
      </c>
      <c r="G15" s="5" t="n">
        <v>5</v>
      </c>
      <c r="H15" s="6" t="inlineStr">
        <is>
          <t>Done</t>
        </is>
      </c>
      <c r="I15" s="3" t="inlineStr">
        <is>
          <t>Product §2.5</t>
        </is>
      </c>
    </row>
    <row r="16">
      <c r="A16" s="2" t="inlineStr">
        <is>
          <t>LZ-021</t>
        </is>
      </c>
      <c r="B16" s="3" t="inlineStr">
        <is>
          <t>Accounts &amp; Access</t>
        </is>
      </c>
      <c r="C16" s="4" t="inlineStr">
        <is>
          <t>As a returning user, I want to sign in so that I can reach my own data</t>
        </is>
      </c>
      <c r="D16" s="4" t="inlineStr">
        <is>
          <t>Email or phone plus password; wrong credentials and unknown account give the same error</t>
        </is>
      </c>
      <c r="E16" s="3" t="inlineStr">
        <is>
          <t>Backend</t>
        </is>
      </c>
      <c r="F16" s="3" t="inlineStr">
        <is>
          <t>Must</t>
        </is>
      </c>
      <c r="G16" s="5" t="n">
        <v>3</v>
      </c>
      <c r="H16" s="6" t="inlineStr">
        <is>
          <t>Done</t>
        </is>
      </c>
      <c r="I16" s="3" t="inlineStr">
        <is>
          <t>Product §2.5</t>
        </is>
      </c>
    </row>
    <row r="17">
      <c r="A17" s="2" t="inlineStr">
        <is>
          <t>LZ-022</t>
        </is>
      </c>
      <c r="B17" s="3" t="inlineStr">
        <is>
          <t>Accounts &amp; Access</t>
        </is>
      </c>
      <c r="C17" s="4" t="inlineStr">
        <is>
          <t>As a user, I want to stay signed in between launches so that I do not re-enter my password daily</t>
        </is>
      </c>
      <c r="D17" s="4" t="inlineStr">
        <is>
          <t>Refresh token stored securely; rotates on use; replay is rejected</t>
        </is>
      </c>
      <c r="E17" s="3" t="inlineStr">
        <is>
          <t>Mobile</t>
        </is>
      </c>
      <c r="F17" s="3" t="inlineStr">
        <is>
          <t>Must</t>
        </is>
      </c>
      <c r="G17" s="5" t="n">
        <v>5</v>
      </c>
      <c r="H17" s="6" t="inlineStr">
        <is>
          <t>Done</t>
        </is>
      </c>
      <c r="I17" s="3" t="inlineStr">
        <is>
          <t>Tech §4</t>
        </is>
      </c>
    </row>
    <row r="18">
      <c r="A18" s="2" t="inlineStr">
        <is>
          <t>LZ-023</t>
        </is>
      </c>
      <c r="B18" s="3" t="inlineStr">
        <is>
          <t>Accounts &amp; Access</t>
        </is>
      </c>
      <c r="C18" s="4" t="inlineStr">
        <is>
          <t>As a user, I want a sign-in screen that tells me what went wrong so that I can correct it</t>
        </is>
      </c>
      <c r="D18" s="4" t="inlineStr">
        <is>
          <t>Field validation before submit; server errors shown inline; password can be revealed</t>
        </is>
      </c>
      <c r="E18" s="3" t="inlineStr">
        <is>
          <t>Mobile</t>
        </is>
      </c>
      <c r="F18" s="3" t="inlineStr">
        <is>
          <t>Must</t>
        </is>
      </c>
      <c r="G18" s="5" t="n">
        <v>3</v>
      </c>
      <c r="H18" s="6" t="inlineStr">
        <is>
          <t>Done</t>
        </is>
      </c>
      <c r="I18" s="3" t="inlineStr">
        <is>
          <t>Design v2</t>
        </is>
      </c>
    </row>
    <row r="19">
      <c r="A19" s="2" t="inlineStr">
        <is>
          <t>LZ-024</t>
        </is>
      </c>
      <c r="B19" s="3" t="inlineStr">
        <is>
          <t>Accounts &amp; Access</t>
        </is>
      </c>
      <c r="C19" s="4" t="inlineStr">
        <is>
          <t>As a user, I want to sign out so that my session cannot be reused on a shared device</t>
        </is>
      </c>
      <c r="D19" s="4" t="inlineStr">
        <is>
          <t>Refresh token revoked server-side; local tokens cleared; idempotent</t>
        </is>
      </c>
      <c r="E19" s="3" t="inlineStr">
        <is>
          <t>Mobile</t>
        </is>
      </c>
      <c r="F19" s="3" t="inlineStr">
        <is>
          <t>Must</t>
        </is>
      </c>
      <c r="G19" s="5" t="n">
        <v>2</v>
      </c>
      <c r="H19" s="6" t="inlineStr">
        <is>
          <t>Done</t>
        </is>
      </c>
      <c r="I19" s="3" t="inlineStr">
        <is>
          <t>Tech §4</t>
        </is>
      </c>
    </row>
    <row r="20">
      <c r="A20" s="2" t="inlineStr">
        <is>
          <t>LZ-025</t>
        </is>
      </c>
      <c r="B20" s="3" t="inlineStr">
        <is>
          <t>Accounts &amp; Access</t>
        </is>
      </c>
      <c r="C20" s="4" t="inlineStr">
        <is>
          <t>As a user holding several roles, I want to switch context so that I can act as tenant or landlord</t>
        </is>
      </c>
      <c r="D20" s="4" t="inlineStr">
        <is>
          <t>Switcher appears only when more than one profile exists; switching changes navigation</t>
        </is>
      </c>
      <c r="E20" s="3" t="inlineStr">
        <is>
          <t>Mobile</t>
        </is>
      </c>
      <c r="F20" s="3" t="inlineStr">
        <is>
          <t>Must</t>
        </is>
      </c>
      <c r="G20" s="5" t="n">
        <v>8</v>
      </c>
      <c r="H20" s="7" t="inlineStr">
        <is>
          <t>Not Started</t>
        </is>
      </c>
      <c r="I20" s="3" t="inlineStr">
        <is>
          <t>Product §2.5</t>
        </is>
      </c>
    </row>
    <row r="21">
      <c r="A21" s="2" t="inlineStr">
        <is>
          <t>LZ-026</t>
        </is>
      </c>
      <c r="B21" s="3" t="inlineStr">
        <is>
          <t>Accounts &amp; Access</t>
        </is>
      </c>
      <c r="C21" s="4" t="inlineStr">
        <is>
          <t>As a landlord, I want my data invisible to other landlords so that my business stays private</t>
        </is>
      </c>
      <c r="D21" s="4" t="inlineStr">
        <is>
          <t>Ownership checks on every property-scoped resource; cross-tenant access returns 403</t>
        </is>
      </c>
      <c r="E21" s="3" t="inlineStr">
        <is>
          <t>Backend</t>
        </is>
      </c>
      <c r="F21" s="3" t="inlineStr">
        <is>
          <t>Must</t>
        </is>
      </c>
      <c r="G21" s="5" t="n">
        <v>8</v>
      </c>
      <c r="H21" s="7" t="inlineStr">
        <is>
          <t>Not Started</t>
        </is>
      </c>
      <c r="I21" s="3" t="inlineStr">
        <is>
          <t>Tech §4</t>
        </is>
      </c>
    </row>
    <row r="22">
      <c r="A22" s="2" t="inlineStr">
        <is>
          <t>LZ-027</t>
        </is>
      </c>
      <c r="B22" s="3" t="inlineStr">
        <is>
          <t>Accounts &amp; Access</t>
        </is>
      </c>
      <c r="C22" s="4" t="inlineStr">
        <is>
          <t>As a tenant, I want only my own records visible so that other tenants cannot see my payments</t>
        </is>
      </c>
      <c r="D22" s="4" t="inlineStr">
        <is>
          <t>Tenant self-scope enforced on lease, payment, maintenance and notification reads</t>
        </is>
      </c>
      <c r="E22" s="3" t="inlineStr">
        <is>
          <t>Backend</t>
        </is>
      </c>
      <c r="F22" s="3" t="inlineStr">
        <is>
          <t>Must</t>
        </is>
      </c>
      <c r="G22" s="5" t="n">
        <v>5</v>
      </c>
      <c r="H22" s="7" t="inlineStr">
        <is>
          <t>Not Started</t>
        </is>
      </c>
      <c r="I22" s="3" t="inlineStr">
        <is>
          <t>Tech §4</t>
        </is>
      </c>
    </row>
    <row r="23">
      <c r="A23" s="2" t="inlineStr">
        <is>
          <t>LZ-028</t>
        </is>
      </c>
      <c r="B23" s="3" t="inlineStr">
        <is>
          <t>Accounts &amp; Access</t>
        </is>
      </c>
      <c r="C23" s="4" t="inlineStr">
        <is>
          <t>As a user, I want to reset a forgotten password so that I am not locked out permanently</t>
        </is>
      </c>
      <c r="D23" s="4" t="inlineStr">
        <is>
          <t>Reset requested by email or phone; single-use time-limited token; old sessions revoked</t>
        </is>
      </c>
      <c r="E23" s="3" t="inlineStr">
        <is>
          <t>Backend</t>
        </is>
      </c>
      <c r="F23" s="3" t="inlineStr">
        <is>
          <t>Should</t>
        </is>
      </c>
      <c r="G23" s="5" t="n">
        <v>5</v>
      </c>
      <c r="H23" s="7" t="inlineStr">
        <is>
          <t>Not Started</t>
        </is>
      </c>
      <c r="I23" s="3" t="inlineStr">
        <is>
          <t>—</t>
        </is>
      </c>
    </row>
    <row r="24">
      <c r="A24" s="2" t="inlineStr">
        <is>
          <t>LZ-029</t>
        </is>
      </c>
      <c r="B24" s="3" t="inlineStr">
        <is>
          <t>Accounts &amp; Access</t>
        </is>
      </c>
      <c r="C24" s="4" t="inlineStr">
        <is>
          <t>As a user, I want to edit my name and contact details so that my account stays current</t>
        </is>
      </c>
      <c r="D24" s="4" t="inlineStr">
        <is>
          <t>Name, email and phone editable; uniqueness enforced; contact rule still satisfied</t>
        </is>
      </c>
      <c r="E24" s="3" t="inlineStr">
        <is>
          <t>Mobile</t>
        </is>
      </c>
      <c r="F24" s="3" t="inlineStr">
        <is>
          <t>Should</t>
        </is>
      </c>
      <c r="G24" s="5" t="n">
        <v>3</v>
      </c>
      <c r="H24" s="7" t="inlineStr">
        <is>
          <t>Not Started</t>
        </is>
      </c>
      <c r="I24" s="3" t="inlineStr">
        <is>
          <t>—</t>
        </is>
      </c>
    </row>
    <row r="25">
      <c r="A25" s="2" t="inlineStr">
        <is>
          <t>LZ-030</t>
        </is>
      </c>
      <c r="B25" s="3" t="inlineStr">
        <is>
          <t>Property, Unit &amp; Bed</t>
        </is>
      </c>
      <c r="C25" s="4" t="inlineStr">
        <is>
          <t>As a landlord, I want to add a property so that I can manage its units in Lizmo</t>
        </is>
      </c>
      <c r="D25" s="4" t="inlineStr">
        <is>
          <t>Name, address and type captured; property appears in my list only</t>
        </is>
      </c>
      <c r="E25" s="3" t="inlineStr">
        <is>
          <t>Backend</t>
        </is>
      </c>
      <c r="F25" s="3" t="inlineStr">
        <is>
          <t>Must</t>
        </is>
      </c>
      <c r="G25" s="5" t="n">
        <v>3</v>
      </c>
      <c r="H25" s="7" t="inlineStr">
        <is>
          <t>Not Started</t>
        </is>
      </c>
      <c r="I25" s="3" t="inlineStr">
        <is>
          <t>Product §2.1</t>
        </is>
      </c>
    </row>
    <row r="26">
      <c r="A26" s="2" t="inlineStr">
        <is>
          <t>LZ-031</t>
        </is>
      </c>
      <c r="B26" s="3" t="inlineStr">
        <is>
          <t>Property, Unit &amp; Bed</t>
        </is>
      </c>
      <c r="C26" s="4" t="inlineStr">
        <is>
          <t>As a landlord, I want to add units to a property so that each can be rented separately</t>
        </is>
      </c>
      <c r="D26" s="4" t="inlineStr">
        <is>
          <t>Unit number unique per property; rental mode set at creation; rent independent per unit</t>
        </is>
      </c>
      <c r="E26" s="3" t="inlineStr">
        <is>
          <t>Backend</t>
        </is>
      </c>
      <c r="F26" s="3" t="inlineStr">
        <is>
          <t>Must</t>
        </is>
      </c>
      <c r="G26" s="5" t="n">
        <v>5</v>
      </c>
      <c r="H26" s="7" t="inlineStr">
        <is>
          <t>Not Started</t>
        </is>
      </c>
      <c r="I26" s="3" t="inlineStr">
        <is>
          <t>Product §2.1</t>
        </is>
      </c>
    </row>
    <row r="27">
      <c r="A27" s="2" t="inlineStr">
        <is>
          <t>LZ-032</t>
        </is>
      </c>
      <c r="B27" s="3" t="inlineStr">
        <is>
          <t>Property, Unit &amp; Bed</t>
        </is>
      </c>
      <c r="C27" s="4" t="inlineStr">
        <is>
          <t>As a landlord, I want to define beds in a shared room so that I can rent bedspaces individually</t>
        </is>
      </c>
      <c r="D27" s="4" t="inlineStr">
        <is>
          <t>Beds only on BEDSPACE units; label unique per unit; each has its own status</t>
        </is>
      </c>
      <c r="E27" s="3" t="inlineStr">
        <is>
          <t>Backend</t>
        </is>
      </c>
      <c r="F27" s="3" t="inlineStr">
        <is>
          <t>Must</t>
        </is>
      </c>
      <c r="G27" s="5" t="n">
        <v>5</v>
      </c>
      <c r="H27" s="7" t="inlineStr">
        <is>
          <t>Not Started</t>
        </is>
      </c>
      <c r="I27" s="3" t="inlineStr">
        <is>
          <t>Product §2.1</t>
        </is>
      </c>
    </row>
    <row r="28">
      <c r="A28" s="2" t="inlineStr">
        <is>
          <t>LZ-033</t>
        </is>
      </c>
      <c r="B28" s="3" t="inlineStr">
        <is>
          <t>Property, Unit &amp; Bed</t>
        </is>
      </c>
      <c r="C28" s="4" t="inlineStr">
        <is>
          <t>As a landlord, I want to mark a bed under maintenance so that it is not counted as rentable</t>
        </is>
      </c>
      <c r="D28" s="4" t="inlineStr">
        <is>
          <t>Bed status independent of tenancy; excluded from occupancy and platform billing</t>
        </is>
      </c>
      <c r="E28" s="3" t="inlineStr">
        <is>
          <t>Backend</t>
        </is>
      </c>
      <c r="F28" s="3" t="inlineStr">
        <is>
          <t>Should</t>
        </is>
      </c>
      <c r="G28" s="5" t="n">
        <v>3</v>
      </c>
      <c r="H28" s="7" t="inlineStr">
        <is>
          <t>Not Started</t>
        </is>
      </c>
      <c r="I28" s="3" t="inlineStr">
        <is>
          <t>Product §2.1</t>
        </is>
      </c>
    </row>
    <row r="29">
      <c r="A29" s="2" t="inlineStr">
        <is>
          <t>LZ-034</t>
        </is>
      </c>
      <c r="B29" s="3" t="inlineStr">
        <is>
          <t>Property, Unit &amp; Bed</t>
        </is>
      </c>
      <c r="C29" s="4" t="inlineStr">
        <is>
          <t>As a landlord, I want to see occupancy at a glance so that I know what is empty</t>
        </is>
      </c>
      <c r="D29" s="4" t="inlineStr">
        <is>
          <t>Occupancy derived from active leases, never stored; shown per property and per unit</t>
        </is>
      </c>
      <c r="E29" s="3" t="inlineStr">
        <is>
          <t>Mobile</t>
        </is>
      </c>
      <c r="F29" s="3" t="inlineStr">
        <is>
          <t>Must</t>
        </is>
      </c>
      <c r="G29" s="5" t="n">
        <v>5</v>
      </c>
      <c r="H29" s="7" t="inlineStr">
        <is>
          <t>Not Started</t>
        </is>
      </c>
      <c r="I29" s="3" t="inlineStr">
        <is>
          <t>Product §2.9</t>
        </is>
      </c>
    </row>
    <row r="30">
      <c r="A30" s="2" t="inlineStr">
        <is>
          <t>LZ-035</t>
        </is>
      </c>
      <c r="B30" s="3" t="inlineStr">
        <is>
          <t>Property, Unit &amp; Bed</t>
        </is>
      </c>
      <c r="C30" s="4" t="inlineStr">
        <is>
          <t>As a landlord, I want my property list on my phone so that I can check it away from a desk</t>
        </is>
      </c>
      <c r="D30" s="4" t="inlineStr">
        <is>
          <t>List renders with design system; empty state guides first property creation</t>
        </is>
      </c>
      <c r="E30" s="3" t="inlineStr">
        <is>
          <t>Mobile</t>
        </is>
      </c>
      <c r="F30" s="3" t="inlineStr">
        <is>
          <t>Must</t>
        </is>
      </c>
      <c r="G30" s="5" t="n">
        <v>5</v>
      </c>
      <c r="H30" s="7" t="inlineStr">
        <is>
          <t>Not Started</t>
        </is>
      </c>
      <c r="I30" s="3" t="inlineStr">
        <is>
          <t>Design v2</t>
        </is>
      </c>
    </row>
    <row r="31">
      <c r="A31" s="2" t="inlineStr">
        <is>
          <t>LZ-040</t>
        </is>
      </c>
      <c r="B31" s="3" t="inlineStr">
        <is>
          <t>Leases</t>
        </is>
      </c>
      <c r="C31" s="4" t="inlineStr">
        <is>
          <t>As a landlord, I want to create a lease so that a tenant is formally attached to a unit or bed</t>
        </is>
      </c>
      <c r="D31" s="4" t="inlineStr">
        <is>
          <t>Bed required for BEDSPACE, forbidden otherwise; one active lease per bed enforced</t>
        </is>
      </c>
      <c r="E31" s="3" t="inlineStr">
        <is>
          <t>Backend</t>
        </is>
      </c>
      <c r="F31" s="3" t="inlineStr">
        <is>
          <t>Must</t>
        </is>
      </c>
      <c r="G31" s="5" t="n">
        <v>8</v>
      </c>
      <c r="H31" s="7" t="inlineStr">
        <is>
          <t>Not Started</t>
        </is>
      </c>
      <c r="I31" s="3" t="inlineStr">
        <is>
          <t>Product §2.2</t>
        </is>
      </c>
    </row>
    <row r="32">
      <c r="A32" s="2" t="inlineStr">
        <is>
          <t>LZ-041</t>
        </is>
      </c>
      <c r="B32" s="3" t="inlineStr">
        <is>
          <t>Leases</t>
        </is>
      </c>
      <c r="C32" s="4" t="inlineStr">
        <is>
          <t>As a landlord, I want to set the due day myself so that all my tenants pay on the same date</t>
        </is>
      </c>
      <c r="D32" s="4" t="inlineStr">
        <is>
          <t>Due day 1-31, set per lease and independent of move-in date</t>
        </is>
      </c>
      <c r="E32" s="3" t="inlineStr">
        <is>
          <t>Backend</t>
        </is>
      </c>
      <c r="F32" s="3" t="inlineStr">
        <is>
          <t>Must</t>
        </is>
      </c>
      <c r="G32" s="5" t="n">
        <v>2</v>
      </c>
      <c r="H32" s="7" t="inlineStr">
        <is>
          <t>Not Started</t>
        </is>
      </c>
      <c r="I32" s="3" t="inlineStr">
        <is>
          <t>Product §2.2</t>
        </is>
      </c>
    </row>
    <row r="33">
      <c r="A33" s="2" t="inlineStr">
        <is>
          <t>LZ-042</t>
        </is>
      </c>
      <c r="B33" s="3" t="inlineStr">
        <is>
          <t>Leases</t>
        </is>
      </c>
      <c r="C33" s="4" t="inlineStr">
        <is>
          <t>As a landlord, I want to end a lease so that the bed becomes available again</t>
        </is>
      </c>
      <c r="D33" s="4" t="inlineStr">
        <is>
          <t>Status moves to ENDED or TERMINATED; bed frees up; billing history is retained</t>
        </is>
      </c>
      <c r="E33" s="3" t="inlineStr">
        <is>
          <t>Backend</t>
        </is>
      </c>
      <c r="F33" s="3" t="inlineStr">
        <is>
          <t>Must</t>
        </is>
      </c>
      <c r="G33" s="5" t="n">
        <v>3</v>
      </c>
      <c r="H33" s="7" t="inlineStr">
        <is>
          <t>Not Started</t>
        </is>
      </c>
      <c r="I33" s="3" t="inlineStr">
        <is>
          <t>Product §2.2</t>
        </is>
      </c>
    </row>
    <row r="34">
      <c r="A34" s="2" t="inlineStr">
        <is>
          <t>LZ-043</t>
        </is>
      </c>
      <c r="B34" s="3" t="inlineStr">
        <is>
          <t>Leases</t>
        </is>
      </c>
      <c r="C34" s="4" t="inlineStr">
        <is>
          <t>As a returning tenant, I want my history preserved so that re-renting does not duplicate me</t>
        </is>
      </c>
      <c r="D34" s="4" t="inlineStr">
        <is>
          <t>New lease attaches to the existing tenant profile; prior leases remain visible</t>
        </is>
      </c>
      <c r="E34" s="3" t="inlineStr">
        <is>
          <t>Backend</t>
        </is>
      </c>
      <c r="F34" s="3" t="inlineStr">
        <is>
          <t>Should</t>
        </is>
      </c>
      <c r="G34" s="5" t="n">
        <v>3</v>
      </c>
      <c r="H34" s="7" t="inlineStr">
        <is>
          <t>Not Started</t>
        </is>
      </c>
      <c r="I34" s="3" t="inlineStr">
        <is>
          <t>Product §2.2</t>
        </is>
      </c>
    </row>
    <row r="35">
      <c r="A35" s="2" t="inlineStr">
        <is>
          <t>LZ-044</t>
        </is>
      </c>
      <c r="B35" s="3" t="inlineStr">
        <is>
          <t>Leases</t>
        </is>
      </c>
      <c r="C35" s="4" t="inlineStr">
        <is>
          <t>As a tenant, I want to see my lease details so that I know what I owe and when</t>
        </is>
      </c>
      <c r="D35" s="4" t="inlineStr">
        <is>
          <t>Rent, due day, unit or bed, start and end dates shown; amounts in mono type</t>
        </is>
      </c>
      <c r="E35" s="3" t="inlineStr">
        <is>
          <t>Mobile</t>
        </is>
      </c>
      <c r="F35" s="3" t="inlineStr">
        <is>
          <t>Must</t>
        </is>
      </c>
      <c r="G35" s="5" t="n">
        <v>5</v>
      </c>
      <c r="H35" s="7" t="inlineStr">
        <is>
          <t>Not Started</t>
        </is>
      </c>
      <c r="I35" s="3" t="inlineStr">
        <is>
          <t>Design v2</t>
        </is>
      </c>
    </row>
    <row r="36">
      <c r="A36" s="2" t="inlineStr">
        <is>
          <t>LZ-050</t>
        </is>
      </c>
      <c r="B36" s="3" t="inlineStr">
        <is>
          <t>Billing &amp; Payments</t>
        </is>
      </c>
      <c r="C36" s="4" t="inlineStr">
        <is>
          <t>As a landlord, I want billing periods generated automatically so that overdue rent is tracked without me</t>
        </is>
      </c>
      <c r="D36" s="4" t="inlineStr">
        <is>
          <t>One period per lease per cycle, created regardless of payment; unique per lease and start</t>
        </is>
      </c>
      <c r="E36" s="3" t="inlineStr">
        <is>
          <t>Backend</t>
        </is>
      </c>
      <c r="F36" s="3" t="inlineStr">
        <is>
          <t>Must</t>
        </is>
      </c>
      <c r="G36" s="5" t="n">
        <v>8</v>
      </c>
      <c r="H36" s="7" t="inlineStr">
        <is>
          <t>Not Started</t>
        </is>
      </c>
      <c r="I36" s="3" t="inlineStr">
        <is>
          <t>Product §2.3</t>
        </is>
      </c>
    </row>
    <row r="37">
      <c r="A37" s="2" t="inlineStr">
        <is>
          <t>LZ-051</t>
        </is>
      </c>
      <c r="B37" s="3" t="inlineStr">
        <is>
          <t>Billing &amp; Payments</t>
        </is>
      </c>
      <c r="C37" s="4" t="inlineStr">
        <is>
          <t>As a tenant, I want to submit proof of payment so that I can pay by GCash without a gateway</t>
        </is>
      </c>
      <c r="D37" s="4" t="inlineStr">
        <is>
          <t>Amount, date, method and proof image captured; status starts PENDING_VERIFICATION</t>
        </is>
      </c>
      <c r="E37" s="3" t="inlineStr">
        <is>
          <t>Backend</t>
        </is>
      </c>
      <c r="F37" s="3" t="inlineStr">
        <is>
          <t>Must</t>
        </is>
      </c>
      <c r="G37" s="5" t="n">
        <v>8</v>
      </c>
      <c r="H37" s="7" t="inlineStr">
        <is>
          <t>Not Started</t>
        </is>
      </c>
      <c r="I37" s="3" t="inlineStr">
        <is>
          <t>Product §2.3</t>
        </is>
      </c>
    </row>
    <row r="38">
      <c r="A38" s="2" t="inlineStr">
        <is>
          <t>LZ-052</t>
        </is>
      </c>
      <c r="B38" s="3" t="inlineStr">
        <is>
          <t>Billing &amp; Payments</t>
        </is>
      </c>
      <c r="C38" s="4" t="inlineStr">
        <is>
          <t>As a tenant, I want the oldest unpaid period pre-selected so that I do not misapply a payment</t>
        </is>
      </c>
      <c r="D38" s="4" t="inlineStr">
        <is>
          <t>Dropdown lists unpaid and partial only, oldest first, oldest pre-selected, override allowed</t>
        </is>
      </c>
      <c r="E38" s="3" t="inlineStr">
        <is>
          <t>Mobile</t>
        </is>
      </c>
      <c r="F38" s="3" t="inlineStr">
        <is>
          <t>Must</t>
        </is>
      </c>
      <c r="G38" s="5" t="n">
        <v>5</v>
      </c>
      <c r="H38" s="7" t="inlineStr">
        <is>
          <t>Not Started</t>
        </is>
      </c>
      <c r="I38" s="3" t="inlineStr">
        <is>
          <t>Product §2.3</t>
        </is>
      </c>
    </row>
    <row r="39">
      <c r="A39" s="2" t="inlineStr">
        <is>
          <t>LZ-053</t>
        </is>
      </c>
      <c r="B39" s="3" t="inlineStr">
        <is>
          <t>Billing &amp; Payments</t>
        </is>
      </c>
      <c r="C39" s="4" t="inlineStr">
        <is>
          <t>As a landlord, I want to confirm a payment so that the tenant's balance updates</t>
        </is>
      </c>
      <c r="D39" s="4" t="inlineStr">
        <is>
          <t>Confirm applies amount to the period and recomputes status; verifier and time recorded</t>
        </is>
      </c>
      <c r="E39" s="3" t="inlineStr">
        <is>
          <t>Backend</t>
        </is>
      </c>
      <c r="F39" s="3" t="inlineStr">
        <is>
          <t>Must</t>
        </is>
      </c>
      <c r="G39" s="5" t="n">
        <v>5</v>
      </c>
      <c r="H39" s="7" t="inlineStr">
        <is>
          <t>Not Started</t>
        </is>
      </c>
      <c r="I39" s="3" t="inlineStr">
        <is>
          <t>Product §2.3</t>
        </is>
      </c>
    </row>
    <row r="40">
      <c r="A40" s="2" t="inlineStr">
        <is>
          <t>LZ-054</t>
        </is>
      </c>
      <c r="B40" s="3" t="inlineStr">
        <is>
          <t>Billing &amp; Payments</t>
        </is>
      </c>
      <c r="C40" s="4" t="inlineStr">
        <is>
          <t>As a landlord, I want to reject a payment with a reason so that the tenant knows what to fix</t>
        </is>
      </c>
      <c r="D40" s="4" t="inlineStr">
        <is>
          <t>Rejection requires remarks; tenant notified; resubmission allowed</t>
        </is>
      </c>
      <c r="E40" s="3" t="inlineStr">
        <is>
          <t>Backend</t>
        </is>
      </c>
      <c r="F40" s="3" t="inlineStr">
        <is>
          <t>Must</t>
        </is>
      </c>
      <c r="G40" s="5" t="n">
        <v>3</v>
      </c>
      <c r="H40" s="7" t="inlineStr">
        <is>
          <t>Not Started</t>
        </is>
      </c>
      <c r="I40" s="3" t="inlineStr">
        <is>
          <t>Product §2.3</t>
        </is>
      </c>
    </row>
    <row r="41">
      <c r="A41" s="2" t="inlineStr">
        <is>
          <t>LZ-055</t>
        </is>
      </c>
      <c r="B41" s="3" t="inlineStr">
        <is>
          <t>Billing &amp; Payments</t>
        </is>
      </c>
      <c r="C41" s="4" t="inlineStr">
        <is>
          <t>As a tenant, I want to pay in instalments so that a partial payment still counts</t>
        </is>
      </c>
      <c r="D41" s="4" t="inlineStr">
        <is>
          <t>Multiple payments apply to one period; status becomes PARTIALLY_PAID until covered</t>
        </is>
      </c>
      <c r="E41" s="3" t="inlineStr">
        <is>
          <t>Backend</t>
        </is>
      </c>
      <c r="F41" s="3" t="inlineStr">
        <is>
          <t>Should</t>
        </is>
      </c>
      <c r="G41" s="5" t="n">
        <v>5</v>
      </c>
      <c r="H41" s="7" t="inlineStr">
        <is>
          <t>Not Started</t>
        </is>
      </c>
      <c r="I41" s="3" t="inlineStr">
        <is>
          <t>Product §2.3</t>
        </is>
      </c>
    </row>
    <row r="42">
      <c r="A42" s="2" t="inlineStr">
        <is>
          <t>LZ-056</t>
        </is>
      </c>
      <c r="B42" s="3" t="inlineStr">
        <is>
          <t>Billing &amp; Payments</t>
        </is>
      </c>
      <c r="C42" s="4" t="inlineStr">
        <is>
          <t>As a tenant, I want to upload a photo from my phone so that submitting proof is quick</t>
        </is>
      </c>
      <c r="D42" s="4" t="inlineStr">
        <is>
          <t>Camera or gallery; image uploaded via presigned URL; retry on failure</t>
        </is>
      </c>
      <c r="E42" s="3" t="inlineStr">
        <is>
          <t>Mobile</t>
        </is>
      </c>
      <c r="F42" s="3" t="inlineStr">
        <is>
          <t>Must</t>
        </is>
      </c>
      <c r="G42" s="5" t="n">
        <v>5</v>
      </c>
      <c r="H42" s="7" t="inlineStr">
        <is>
          <t>Not Started</t>
        </is>
      </c>
      <c r="I42" s="3" t="inlineStr">
        <is>
          <t>Tech §7</t>
        </is>
      </c>
    </row>
    <row r="43">
      <c r="A43" s="2" t="inlineStr">
        <is>
          <t>LZ-057</t>
        </is>
      </c>
      <c r="B43" s="3" t="inlineStr">
        <is>
          <t>Billing &amp; Payments</t>
        </is>
      </c>
      <c r="C43" s="4" t="inlineStr">
        <is>
          <t>As a landlord, I want a queue of payments awaiting review so that nothing is missed</t>
        </is>
      </c>
      <c r="D43" s="4" t="inlineStr">
        <is>
          <t>Pending payments listed oldest first with proof preview and confirm/reject actions</t>
        </is>
      </c>
      <c r="E43" s="3" t="inlineStr">
        <is>
          <t>Mobile</t>
        </is>
      </c>
      <c r="F43" s="3" t="inlineStr">
        <is>
          <t>Must</t>
        </is>
      </c>
      <c r="G43" s="5" t="n">
        <v>5</v>
      </c>
      <c r="H43" s="7" t="inlineStr">
        <is>
          <t>Not Started</t>
        </is>
      </c>
      <c r="I43" s="3" t="inlineStr">
        <is>
          <t>Design v2</t>
        </is>
      </c>
    </row>
    <row r="44">
      <c r="A44" s="2" t="inlineStr">
        <is>
          <t>LZ-058</t>
        </is>
      </c>
      <c r="B44" s="3" t="inlineStr">
        <is>
          <t>Billing &amp; Payments</t>
        </is>
      </c>
      <c r="C44" s="4" t="inlineStr">
        <is>
          <t>As a landlord, I want the rent roll for a month so that I can see who has paid</t>
        </is>
      </c>
      <c r="D44" s="4" t="inlineStr">
        <is>
          <t>All periods for the month with tenant, amount and status; matches the v2 mockup</t>
        </is>
      </c>
      <c r="E44" s="3" t="inlineStr">
        <is>
          <t>Mobile</t>
        </is>
      </c>
      <c r="F44" s="3" t="inlineStr">
        <is>
          <t>Must</t>
        </is>
      </c>
      <c r="G44" s="5" t="n">
        <v>5</v>
      </c>
      <c r="H44" s="7" t="inlineStr">
        <is>
          <t>Not Started</t>
        </is>
      </c>
      <c r="I44" s="3" t="inlineStr">
        <is>
          <t>Design v2</t>
        </is>
      </c>
    </row>
    <row r="45">
      <c r="A45" s="2" t="inlineStr">
        <is>
          <t>LZ-060</t>
        </is>
      </c>
      <c r="B45" s="3" t="inlineStr">
        <is>
          <t>Maintenance</t>
        </is>
      </c>
      <c r="C45" s="4" t="inlineStr">
        <is>
          <t>As a tenant, I want to report a problem in plain words so that I do not have to categorise it</t>
        </is>
      </c>
      <c r="D45" s="4" t="inlineStr">
        <is>
          <t>Free-text description with optional photo; no categories or priorities</t>
        </is>
      </c>
      <c r="E45" s="3" t="inlineStr">
        <is>
          <t>Backend</t>
        </is>
      </c>
      <c r="F45" s="3" t="inlineStr">
        <is>
          <t>Must</t>
        </is>
      </c>
      <c r="G45" s="5" t="n">
        <v>5</v>
      </c>
      <c r="H45" s="7" t="inlineStr">
        <is>
          <t>Not Started</t>
        </is>
      </c>
      <c r="I45" s="3" t="inlineStr">
        <is>
          <t>Product §2.4</t>
        </is>
      </c>
    </row>
    <row r="46">
      <c r="A46" s="2" t="inlineStr">
        <is>
          <t>LZ-061</t>
        </is>
      </c>
      <c r="B46" s="3" t="inlineStr">
        <is>
          <t>Maintenance</t>
        </is>
      </c>
      <c r="C46" s="4" t="inlineStr">
        <is>
          <t>As a landlord, I want to update a request's status so that the tenant knows it is being handled</t>
        </is>
      </c>
      <c r="D46" s="4" t="inlineStr">
        <is>
          <t>Status transitions with optional remarks; resolved timestamp recorded</t>
        </is>
      </c>
      <c r="E46" s="3" t="inlineStr">
        <is>
          <t>Backend</t>
        </is>
      </c>
      <c r="F46" s="3" t="inlineStr">
        <is>
          <t>Must</t>
        </is>
      </c>
      <c r="G46" s="5" t="n">
        <v>3</v>
      </c>
      <c r="H46" s="7" t="inlineStr">
        <is>
          <t>Not Started</t>
        </is>
      </c>
      <c r="I46" s="3" t="inlineStr">
        <is>
          <t>Product §2.4</t>
        </is>
      </c>
    </row>
    <row r="47">
      <c r="A47" s="2" t="inlineStr">
        <is>
          <t>LZ-062</t>
        </is>
      </c>
      <c r="B47" s="3" t="inlineStr">
        <is>
          <t>Maintenance</t>
        </is>
      </c>
      <c r="C47" s="4" t="inlineStr">
        <is>
          <t>As a tenant, I want to follow my request so that I am not left wondering</t>
        </is>
      </c>
      <c r="D47" s="4" t="inlineStr">
        <is>
          <t>Own requests listed with current status; updates appear without reinstalling</t>
        </is>
      </c>
      <c r="E47" s="3" t="inlineStr">
        <is>
          <t>Mobile</t>
        </is>
      </c>
      <c r="F47" s="3" t="inlineStr">
        <is>
          <t>Must</t>
        </is>
      </c>
      <c r="G47" s="5" t="n">
        <v>3</v>
      </c>
      <c r="H47" s="7" t="inlineStr">
        <is>
          <t>Not Started</t>
        </is>
      </c>
      <c r="I47" s="3" t="inlineStr">
        <is>
          <t>Product §2.4</t>
        </is>
      </c>
    </row>
    <row r="48">
      <c r="A48" s="2" t="inlineStr">
        <is>
          <t>LZ-070</t>
        </is>
      </c>
      <c r="B48" s="3" t="inlineStr">
        <is>
          <t>Staff</t>
        </is>
      </c>
      <c r="C48" s="4" t="inlineStr">
        <is>
          <t>As a landlord, I want to assign a caretaker to one property so that they can help without seeing everything</t>
        </is>
      </c>
      <c r="D48" s="4" t="inlineStr">
        <is>
          <t>Assignment scoped to a single property; same person assignable to several with separate permissions</t>
        </is>
      </c>
      <c r="E48" s="3" t="inlineStr">
        <is>
          <t>Backend</t>
        </is>
      </c>
      <c r="F48" s="3" t="inlineStr">
        <is>
          <t>Must</t>
        </is>
      </c>
      <c r="G48" s="5" t="n">
        <v>5</v>
      </c>
      <c r="H48" s="7" t="inlineStr">
        <is>
          <t>Not Started</t>
        </is>
      </c>
      <c r="I48" s="3" t="inlineStr">
        <is>
          <t>Product §2.5</t>
        </is>
      </c>
    </row>
    <row r="49">
      <c r="A49" s="2" t="inlineStr">
        <is>
          <t>LZ-071</t>
        </is>
      </c>
      <c r="B49" s="3" t="inlineStr">
        <is>
          <t>Staff</t>
        </is>
      </c>
      <c r="C49" s="4" t="inlineStr">
        <is>
          <t>As a landlord, I want to choose what my staff can do so that trust is granular</t>
        </is>
      </c>
      <c r="D49" s="4" t="inlineStr">
        <is>
          <t>Permissions selected per assignment from the MVP set; lease management excluded</t>
        </is>
      </c>
      <c r="E49" s="3" t="inlineStr">
        <is>
          <t>Backend</t>
        </is>
      </c>
      <c r="F49" s="3" t="inlineStr">
        <is>
          <t>Must</t>
        </is>
      </c>
      <c r="G49" s="5" t="n">
        <v>5</v>
      </c>
      <c r="H49" s="7" t="inlineStr">
        <is>
          <t>Not Started</t>
        </is>
      </c>
      <c r="I49" s="3" t="inlineStr">
        <is>
          <t>Product §2.5</t>
        </is>
      </c>
    </row>
    <row r="50">
      <c r="A50" s="2" t="inlineStr">
        <is>
          <t>LZ-072</t>
        </is>
      </c>
      <c r="B50" s="3" t="inlineStr">
        <is>
          <t>Staff</t>
        </is>
      </c>
      <c r="C50" s="4" t="inlineStr">
        <is>
          <t>As a landlord, I want to revoke access immediately so that a departing caretaker loses it at once</t>
        </is>
      </c>
      <c r="D50" s="4" t="inlineStr">
        <is>
          <t>Deactivation takes effect on the next request; no waiting for token expiry</t>
        </is>
      </c>
      <c r="E50" s="3" t="inlineStr">
        <is>
          <t>Backend</t>
        </is>
      </c>
      <c r="F50" s="3" t="inlineStr">
        <is>
          <t>Must</t>
        </is>
      </c>
      <c r="G50" s="5" t="n">
        <v>5</v>
      </c>
      <c r="H50" s="7" t="inlineStr">
        <is>
          <t>Not Started</t>
        </is>
      </c>
      <c r="I50" s="3" t="inlineStr">
        <is>
          <t>Tech §4</t>
        </is>
      </c>
    </row>
    <row r="51">
      <c r="A51" s="2" t="inlineStr">
        <is>
          <t>LZ-073</t>
        </is>
      </c>
      <c r="B51" s="3" t="inlineStr">
        <is>
          <t>Staff</t>
        </is>
      </c>
      <c r="C51" s="4" t="inlineStr">
        <is>
          <t>As a caretaker, I want to see the properties I help with so that I can switch between landlords</t>
        </is>
      </c>
      <c r="D51" s="4" t="inlineStr">
        <is>
          <t>Own assignments listed across landlords with the permissions held on each</t>
        </is>
      </c>
      <c r="E51" s="3" t="inlineStr">
        <is>
          <t>Mobile</t>
        </is>
      </c>
      <c r="F51" s="3" t="inlineStr">
        <is>
          <t>Should</t>
        </is>
      </c>
      <c r="G51" s="5" t="n">
        <v>3</v>
      </c>
      <c r="H51" s="7" t="inlineStr">
        <is>
          <t>Not Started</t>
        </is>
      </c>
      <c r="I51" s="3" t="inlineStr">
        <is>
          <t>Product §2.5</t>
        </is>
      </c>
    </row>
    <row r="52">
      <c r="A52" s="2" t="inlineStr">
        <is>
          <t>LZ-080</t>
        </is>
      </c>
      <c r="B52" s="3" t="inlineStr">
        <is>
          <t>Documents</t>
        </is>
      </c>
      <c r="C52" s="4" t="inlineStr">
        <is>
          <t>As a landlord, I want to attach a signed contract to a lease so that the paperwork lives with the record</t>
        </is>
      </c>
      <c r="D52" s="4" t="inlineStr">
        <is>
          <t>Upload against property, unit, lease or tenant; type and label captured</t>
        </is>
      </c>
      <c r="E52" s="3" t="inlineStr">
        <is>
          <t>Backend</t>
        </is>
      </c>
      <c r="F52" s="3" t="inlineStr">
        <is>
          <t>Should</t>
        </is>
      </c>
      <c r="G52" s="5" t="n">
        <v>5</v>
      </c>
      <c r="H52" s="7" t="inlineStr">
        <is>
          <t>Not Started</t>
        </is>
      </c>
      <c r="I52" s="3" t="inlineStr">
        <is>
          <t>Product §2.6</t>
        </is>
      </c>
    </row>
    <row r="53">
      <c r="A53" s="2" t="inlineStr">
        <is>
          <t>LZ-081</t>
        </is>
      </c>
      <c r="B53" s="3" t="inlineStr">
        <is>
          <t>Documents</t>
        </is>
      </c>
      <c r="C53" s="4" t="inlineStr">
        <is>
          <t>As a user, I want uploads to go straight to storage so that large files do not stall the app</t>
        </is>
      </c>
      <c r="D53" s="4" t="inlineStr">
        <is>
          <t>Presigned URL issued by the API; binary never proxied through the backend</t>
        </is>
      </c>
      <c r="E53" s="3" t="inlineStr">
        <is>
          <t>Backend</t>
        </is>
      </c>
      <c r="F53" s="3" t="inlineStr">
        <is>
          <t>Should</t>
        </is>
      </c>
      <c r="G53" s="5" t="n">
        <v>5</v>
      </c>
      <c r="H53" s="7" t="inlineStr">
        <is>
          <t>Not Started</t>
        </is>
      </c>
      <c r="I53" s="3" t="inlineStr">
        <is>
          <t>Tech §7</t>
        </is>
      </c>
    </row>
    <row r="54">
      <c r="A54" s="2" t="inlineStr">
        <is>
          <t>LZ-082</t>
        </is>
      </c>
      <c r="B54" s="3" t="inlineStr">
        <is>
          <t>Documents</t>
        </is>
      </c>
      <c r="C54" s="4" t="inlineStr">
        <is>
          <t>As a landlord, I want to remove a document so that mistakes can be corrected</t>
        </is>
      </c>
      <c r="D54" s="4" t="inlineStr">
        <is>
          <t>Delete removes the record and the stored object; permitted only to the owner</t>
        </is>
      </c>
      <c r="E54" s="3" t="inlineStr">
        <is>
          <t>Backend</t>
        </is>
      </c>
      <c r="F54" s="3" t="inlineStr">
        <is>
          <t>Could</t>
        </is>
      </c>
      <c r="G54" s="5" t="n">
        <v>2</v>
      </c>
      <c r="H54" s="7" t="inlineStr">
        <is>
          <t>Not Started</t>
        </is>
      </c>
      <c r="I54" s="3" t="inlineStr">
        <is>
          <t>Product §2.6</t>
        </is>
      </c>
    </row>
    <row r="55">
      <c r="A55" s="2" t="inlineStr">
        <is>
          <t>LZ-090</t>
        </is>
      </c>
      <c r="B55" s="3" t="inlineStr">
        <is>
          <t>Notices</t>
        </is>
      </c>
      <c r="C55" s="4" t="inlineStr">
        <is>
          <t>As a landlord, I want to post a notice to all my tenants so that I can announce things once</t>
        </is>
      </c>
      <c r="D55" s="4" t="inlineStr">
        <is>
          <t>Scope selectable; ALL_TENANTS evaluated dynamically so later tenants still see it</t>
        </is>
      </c>
      <c r="E55" s="3" t="inlineStr">
        <is>
          <t>Backend</t>
        </is>
      </c>
      <c r="F55" s="3" t="inlineStr">
        <is>
          <t>Should</t>
        </is>
      </c>
      <c r="G55" s="5" t="n">
        <v>5</v>
      </c>
      <c r="H55" s="7" t="inlineStr">
        <is>
          <t>Not Started</t>
        </is>
      </c>
      <c r="I55" s="3" t="inlineStr">
        <is>
          <t>Product §2.7</t>
        </is>
      </c>
    </row>
    <row r="56">
      <c r="A56" s="2" t="inlineStr">
        <is>
          <t>LZ-091</t>
        </is>
      </c>
      <c r="B56" s="3" t="inlineStr">
        <is>
          <t>Notices</t>
        </is>
      </c>
      <c r="C56" s="4" t="inlineStr">
        <is>
          <t>As a landlord, I want to know who has read a notice so that I can follow up individually</t>
        </is>
      </c>
      <c r="D56" s="4" t="inlineStr">
        <is>
          <t>Read receipts per tenant; unread tenants identifiable</t>
        </is>
      </c>
      <c r="E56" s="3" t="inlineStr">
        <is>
          <t>Backend</t>
        </is>
      </c>
      <c r="F56" s="3" t="inlineStr">
        <is>
          <t>Should</t>
        </is>
      </c>
      <c r="G56" s="5" t="n">
        <v>3</v>
      </c>
      <c r="H56" s="7" t="inlineStr">
        <is>
          <t>Not Started</t>
        </is>
      </c>
      <c r="I56" s="3" t="inlineStr">
        <is>
          <t>Product §2.7</t>
        </is>
      </c>
    </row>
    <row r="57">
      <c r="A57" s="2" t="inlineStr">
        <is>
          <t>LZ-092</t>
        </is>
      </c>
      <c r="B57" s="3" t="inlineStr">
        <is>
          <t>Notices</t>
        </is>
      </c>
      <c r="C57" s="4" t="inlineStr">
        <is>
          <t>As a landlord, I want notices to expire so that old announcements disappear on their own</t>
        </is>
      </c>
      <c r="D57" s="4" t="inlineStr">
        <is>
          <t>Expiry date optional; expired and archived notices leave the active feed</t>
        </is>
      </c>
      <c r="E57" s="3" t="inlineStr">
        <is>
          <t>Backend</t>
        </is>
      </c>
      <c r="F57" s="3" t="inlineStr">
        <is>
          <t>Should</t>
        </is>
      </c>
      <c r="G57" s="5" t="n">
        <v>3</v>
      </c>
      <c r="H57" s="7" t="inlineStr">
        <is>
          <t>Not Started</t>
        </is>
      </c>
      <c r="I57" s="3" t="inlineStr">
        <is>
          <t>Product §2.7</t>
        </is>
      </c>
    </row>
    <row r="58">
      <c r="A58" s="2" t="inlineStr">
        <is>
          <t>LZ-093</t>
        </is>
      </c>
      <c r="B58" s="3" t="inlineStr">
        <is>
          <t>Notices</t>
        </is>
      </c>
      <c r="C58" s="4" t="inlineStr">
        <is>
          <t>As a tenant, I want a feed of current notices so that I see what affects me</t>
        </is>
      </c>
      <c r="D58" s="4" t="inlineStr">
        <is>
          <t>Active notices only, scoped to me, marked read on view</t>
        </is>
      </c>
      <c r="E58" s="3" t="inlineStr">
        <is>
          <t>Mobile</t>
        </is>
      </c>
      <c r="F58" s="3" t="inlineStr">
        <is>
          <t>Should</t>
        </is>
      </c>
      <c r="G58" s="5" t="n">
        <v>3</v>
      </c>
      <c r="H58" s="7" t="inlineStr">
        <is>
          <t>Not Started</t>
        </is>
      </c>
      <c r="I58" s="3" t="inlineStr">
        <is>
          <t>Product §2.7</t>
        </is>
      </c>
    </row>
    <row r="59">
      <c r="A59" s="2" t="inlineStr">
        <is>
          <t>LZ-100</t>
        </is>
      </c>
      <c r="B59" s="3" t="inlineStr">
        <is>
          <t>Notifications</t>
        </is>
      </c>
      <c r="C59" s="4" t="inlineStr">
        <is>
          <t>As a tenant, I want a reminder before rent is due so that I do not miss it</t>
        </is>
      </c>
      <c r="D59" s="4" t="inlineStr">
        <is>
          <t>Notification raised ahead of due date and again once overdue</t>
        </is>
      </c>
      <c r="E59" s="3" t="inlineStr">
        <is>
          <t>Backend</t>
        </is>
      </c>
      <c r="F59" s="3" t="inlineStr">
        <is>
          <t>Should</t>
        </is>
      </c>
      <c r="G59" s="5" t="n">
        <v>5</v>
      </c>
      <c r="H59" s="7" t="inlineStr">
        <is>
          <t>Not Started</t>
        </is>
      </c>
      <c r="I59" s="3" t="inlineStr">
        <is>
          <t>Product §2.8</t>
        </is>
      </c>
    </row>
    <row r="60">
      <c r="A60" s="2" t="inlineStr">
        <is>
          <t>LZ-101</t>
        </is>
      </c>
      <c r="B60" s="3" t="inlineStr">
        <is>
          <t>Notifications</t>
        </is>
      </c>
      <c r="C60" s="4" t="inlineStr">
        <is>
          <t>As a tenant, I want to know when my payment is confirmed so that I have certainty</t>
        </is>
      </c>
      <c r="D60" s="4" t="inlineStr">
        <is>
          <t>Confirmation and rejection both notify, rejection carrying the landlord's remarks</t>
        </is>
      </c>
      <c r="E60" s="3" t="inlineStr">
        <is>
          <t>Backend</t>
        </is>
      </c>
      <c r="F60" s="3" t="inlineStr">
        <is>
          <t>Should</t>
        </is>
      </c>
      <c r="G60" s="5" t="n">
        <v>3</v>
      </c>
      <c r="H60" s="7" t="inlineStr">
        <is>
          <t>Not Started</t>
        </is>
      </c>
      <c r="I60" s="3" t="inlineStr">
        <is>
          <t>Product §2.8</t>
        </is>
      </c>
    </row>
    <row r="61">
      <c r="A61" s="2" t="inlineStr">
        <is>
          <t>LZ-102</t>
        </is>
      </c>
      <c r="B61" s="3" t="inlineStr">
        <is>
          <t>Notifications</t>
        </is>
      </c>
      <c r="C61" s="4" t="inlineStr">
        <is>
          <t>As a user, I want to see my notifications in one place so that nothing is buried</t>
        </is>
      </c>
      <c r="D61" s="4" t="inlineStr">
        <is>
          <t>List with unread state; marking read persists across devices</t>
        </is>
      </c>
      <c r="E61" s="3" t="inlineStr">
        <is>
          <t>Mobile</t>
        </is>
      </c>
      <c r="F61" s="3" t="inlineStr">
        <is>
          <t>Should</t>
        </is>
      </c>
      <c r="G61" s="5" t="n">
        <v>3</v>
      </c>
      <c r="H61" s="7" t="inlineStr">
        <is>
          <t>Not Started</t>
        </is>
      </c>
      <c r="I61" s="3" t="inlineStr">
        <is>
          <t>Product §2.8</t>
        </is>
      </c>
    </row>
    <row r="62">
      <c r="A62" s="2" t="inlineStr">
        <is>
          <t>LZ-110</t>
        </is>
      </c>
      <c r="B62" s="3" t="inlineStr">
        <is>
          <t>Reporting</t>
        </is>
      </c>
      <c r="C62" s="4" t="inlineStr">
        <is>
          <t>As a landlord, I want an occupancy report so that I can see how much inventory sits empty</t>
        </is>
      </c>
      <c r="D62" s="4" t="inlineStr">
        <is>
          <t>Units and beds occupied versus vacant, per property, computed live</t>
        </is>
      </c>
      <c r="E62" s="3" t="inlineStr">
        <is>
          <t>Backend</t>
        </is>
      </c>
      <c r="F62" s="3" t="inlineStr">
        <is>
          <t>Should</t>
        </is>
      </c>
      <c r="G62" s="5" t="n">
        <v>3</v>
      </c>
      <c r="H62" s="7" t="inlineStr">
        <is>
          <t>Not Started</t>
        </is>
      </c>
      <c r="I62" s="3" t="inlineStr">
        <is>
          <t>Product §2.9</t>
        </is>
      </c>
    </row>
    <row r="63">
      <c r="A63" s="2" t="inlineStr">
        <is>
          <t>LZ-111</t>
        </is>
      </c>
      <c r="B63" s="3" t="inlineStr">
        <is>
          <t>Reporting</t>
        </is>
      </c>
      <c r="C63" s="4" t="inlineStr">
        <is>
          <t>As a landlord, I want an income summary so that I know what actually came in</t>
        </is>
      </c>
      <c r="D63" s="4" t="inlineStr">
        <is>
          <t>Confirmed payments only, by property and month</t>
        </is>
      </c>
      <c r="E63" s="3" t="inlineStr">
        <is>
          <t>Backend</t>
        </is>
      </c>
      <c r="F63" s="3" t="inlineStr">
        <is>
          <t>Should</t>
        </is>
      </c>
      <c r="G63" s="5" t="n">
        <v>3</v>
      </c>
      <c r="H63" s="7" t="inlineStr">
        <is>
          <t>Not Started</t>
        </is>
      </c>
      <c r="I63" s="3" t="inlineStr">
        <is>
          <t>Product §2.9</t>
        </is>
      </c>
    </row>
    <row r="64">
      <c r="A64" s="2" t="inlineStr">
        <is>
          <t>LZ-112</t>
        </is>
      </c>
      <c r="B64" s="3" t="inlineStr">
        <is>
          <t>Reporting</t>
        </is>
      </c>
      <c r="C64" s="4" t="inlineStr">
        <is>
          <t>As a landlord, I want a list of overdue tenants so that I know who to chase</t>
        </is>
      </c>
      <c r="D64" s="4" t="inlineStr">
        <is>
          <t>Leases with unpaid or overdue periods, oldest first</t>
        </is>
      </c>
      <c r="E64" s="3" t="inlineStr">
        <is>
          <t>Backend</t>
        </is>
      </c>
      <c r="F64" s="3" t="inlineStr">
        <is>
          <t>Should</t>
        </is>
      </c>
      <c r="G64" s="5" t="n">
        <v>3</v>
      </c>
      <c r="H64" s="7" t="inlineStr">
        <is>
          <t>Not Started</t>
        </is>
      </c>
      <c r="I64" s="3" t="inlineStr">
        <is>
          <t>Product §2.9</t>
        </is>
      </c>
    </row>
    <row r="65">
      <c r="A65" s="2" t="inlineStr">
        <is>
          <t>LZ-113</t>
        </is>
      </c>
      <c r="B65" s="3" t="inlineStr">
        <is>
          <t>Reporting</t>
        </is>
      </c>
      <c r="C65" s="4" t="inlineStr">
        <is>
          <t>As a landlord, I want a dashboard on opening the app so that I see the state of things immediately</t>
        </is>
      </c>
      <c r="D65" s="4" t="inlineStr">
        <is>
          <t>Occupancy and overdue totals in the header; matches the v2 mockup</t>
        </is>
      </c>
      <c r="E65" s="3" t="inlineStr">
        <is>
          <t>Mobile</t>
        </is>
      </c>
      <c r="F65" s="3" t="inlineStr">
        <is>
          <t>Should</t>
        </is>
      </c>
      <c r="G65" s="5" t="n">
        <v>5</v>
      </c>
      <c r="H65" s="7" t="inlineStr">
        <is>
          <t>Not Started</t>
        </is>
      </c>
      <c r="I65" s="3" t="inlineStr">
        <is>
          <t>Design v2</t>
        </is>
      </c>
    </row>
    <row r="66">
      <c r="A66" s="2" t="inlineStr">
        <is>
          <t>LZ-120</t>
        </is>
      </c>
      <c r="B66" s="3" t="inlineStr">
        <is>
          <t>Platform Billing</t>
        </is>
      </c>
      <c r="C66" s="4" t="inlineStr">
        <is>
          <t>As Lizmo, I want to invoice each landlord monthly so that revenue is collected per occupied slot</t>
        </is>
      </c>
      <c r="D66" s="4" t="inlineStr">
        <is>
          <t>Snapshot on the billing date; units x150 + bedspaces x50; one cycle per landlord per date</t>
        </is>
      </c>
      <c r="E66" s="3" t="inlineStr">
        <is>
          <t>Backend</t>
        </is>
      </c>
      <c r="F66" s="3" t="inlineStr">
        <is>
          <t>Must</t>
        </is>
      </c>
      <c r="G66" s="5" t="n">
        <v>8</v>
      </c>
      <c r="H66" s="7" t="inlineStr">
        <is>
          <t>Not Started</t>
        </is>
      </c>
      <c r="I66" s="3" t="inlineStr">
        <is>
          <t>Product §3</t>
        </is>
      </c>
    </row>
    <row r="67">
      <c r="A67" s="2" t="inlineStr">
        <is>
          <t>LZ-121</t>
        </is>
      </c>
      <c r="B67" s="3" t="inlineStr">
        <is>
          <t>Platform Billing</t>
        </is>
      </c>
      <c r="C67" s="4" t="inlineStr">
        <is>
          <t>As a landlord, I want to pay Lizmo the same way my tenants pay me so that the process is familiar</t>
        </is>
      </c>
      <c r="D67" s="4" t="inlineStr">
        <is>
          <t>Proof-of-payment upload against a billing cycle; awaits admin confirmation</t>
        </is>
      </c>
      <c r="E67" s="3" t="inlineStr">
        <is>
          <t>Backend</t>
        </is>
      </c>
      <c r="F67" s="3" t="inlineStr">
        <is>
          <t>Must</t>
        </is>
      </c>
      <c r="G67" s="5" t="n">
        <v>5</v>
      </c>
      <c r="H67" s="7" t="inlineStr">
        <is>
          <t>Not Started</t>
        </is>
      </c>
      <c r="I67" s="3" t="inlineStr">
        <is>
          <t>Product §3</t>
        </is>
      </c>
    </row>
    <row r="68">
      <c r="A68" s="2" t="inlineStr">
        <is>
          <t>LZ-122</t>
        </is>
      </c>
      <c r="B68" s="3" t="inlineStr">
        <is>
          <t>Platform Billing</t>
        </is>
      </c>
      <c r="C68" s="4" t="inlineStr">
        <is>
          <t>As Lizmo, I want unpaid accounts locked after the grace period so that the model is enforceable</t>
        </is>
      </c>
      <c r="D68" s="4" t="inlineStr">
        <is>
          <t>Overdue at due date, warning sent, LOCKED after 7 days; tenants remain unaffected</t>
        </is>
      </c>
      <c r="E68" s="3" t="inlineStr">
        <is>
          <t>Backend</t>
        </is>
      </c>
      <c r="F68" s="3" t="inlineStr">
        <is>
          <t>Must</t>
        </is>
      </c>
      <c r="G68" s="5" t="n">
        <v>8</v>
      </c>
      <c r="H68" s="7" t="inlineStr">
        <is>
          <t>Not Started</t>
        </is>
      </c>
      <c r="I68" s="3" t="inlineStr">
        <is>
          <t>Product §3</t>
        </is>
      </c>
    </row>
    <row r="69">
      <c r="A69" s="2" t="inlineStr">
        <is>
          <t>LZ-123</t>
        </is>
      </c>
      <c r="B69" s="3" t="inlineStr">
        <is>
          <t>Platform Billing</t>
        </is>
      </c>
      <c r="C69" s="4" t="inlineStr">
        <is>
          <t>As a locked-out landlord, I want to be told exactly why so that I can fix it immediately</t>
        </is>
      </c>
      <c r="D69" s="4" t="inlineStr">
        <is>
          <t>Management writes return ACCOUNT_LOCKED_UNPAID_INVOICE; app routes to the unpaid invoice</t>
        </is>
      </c>
      <c r="E69" s="3" t="inlineStr">
        <is>
          <t>Backend</t>
        </is>
      </c>
      <c r="F69" s="3" t="inlineStr">
        <is>
          <t>Must</t>
        </is>
      </c>
      <c r="G69" s="5" t="n">
        <v>5</v>
      </c>
      <c r="H69" s="7" t="inlineStr">
        <is>
          <t>Not Started</t>
        </is>
      </c>
      <c r="I69" s="3" t="inlineStr">
        <is>
          <t>Tech §4</t>
        </is>
      </c>
    </row>
    <row r="70">
      <c r="A70" s="2" t="inlineStr">
        <is>
          <t>LZ-124</t>
        </is>
      </c>
      <c r="B70" s="3" t="inlineStr">
        <is>
          <t>Platform Billing</t>
        </is>
      </c>
      <c r="C70" s="4" t="inlineStr">
        <is>
          <t>As a landlord, I want lockout lifted as soon as I pay so that I am not waiting on a person</t>
        </is>
      </c>
      <c r="D70" s="4" t="inlineStr">
        <is>
          <t>Confirming the last overdue cycle restores ACTIVE in the same transaction</t>
        </is>
      </c>
      <c r="E70" s="3" t="inlineStr">
        <is>
          <t>Backend</t>
        </is>
      </c>
      <c r="F70" s="3" t="inlineStr">
        <is>
          <t>Must</t>
        </is>
      </c>
      <c r="G70" s="5" t="n">
        <v>3</v>
      </c>
      <c r="H70" s="7" t="inlineStr">
        <is>
          <t>Not Started</t>
        </is>
      </c>
      <c r="I70" s="3" t="inlineStr">
        <is>
          <t>Product §3</t>
        </is>
      </c>
    </row>
    <row r="71">
      <c r="A71" s="2" t="inlineStr">
        <is>
          <t>LZ-125</t>
        </is>
      </c>
      <c r="B71" s="3" t="inlineStr">
        <is>
          <t>Platform Billing</t>
        </is>
      </c>
      <c r="C71" s="4" t="inlineStr">
        <is>
          <t>As a landlord, I want to see my Lizmo invoices so that I can check what I am charged for</t>
        </is>
      </c>
      <c r="D71" s="4" t="inlineStr">
        <is>
          <t>Cycle list with slot counts and amounts; unpaid ones surfaced first</t>
        </is>
      </c>
      <c r="E71" s="3" t="inlineStr">
        <is>
          <t>Mobile</t>
        </is>
      </c>
      <c r="F71" s="3" t="inlineStr">
        <is>
          <t>Should</t>
        </is>
      </c>
      <c r="G71" s="5" t="n">
        <v>5</v>
      </c>
      <c r="H71" s="7" t="inlineStr">
        <is>
          <t>Not Started</t>
        </is>
      </c>
      <c r="I71" s="3" t="inlineStr">
        <is>
          <t>Product §3</t>
        </is>
      </c>
    </row>
    <row r="72">
      <c r="A72" s="2" t="inlineStr">
        <is>
          <t>LZ-130</t>
        </is>
      </c>
      <c r="B72" s="3" t="inlineStr">
        <is>
          <t>Admin Console</t>
        </is>
      </c>
      <c r="C72" s="4" t="inlineStr">
        <is>
          <t>As a Lizmo admin, I want a queue of platform payments so that I can verify them in order</t>
        </is>
      </c>
      <c r="D72" s="4" t="inlineStr">
        <is>
          <t>Pending payments listed with landlord, amount, method and proof; oldest first</t>
        </is>
      </c>
      <c r="E72" s="3" t="inlineStr">
        <is>
          <t>Admin Web</t>
        </is>
      </c>
      <c r="F72" s="3" t="inlineStr">
        <is>
          <t>Must</t>
        </is>
      </c>
      <c r="G72" s="5" t="n">
        <v>5</v>
      </c>
      <c r="H72" s="8" t="inlineStr">
        <is>
          <t>In Progress</t>
        </is>
      </c>
      <c r="I72" s="3" t="inlineStr">
        <is>
          <t>Tech §3.9</t>
        </is>
      </c>
    </row>
    <row r="73">
      <c r="A73" s="2" t="inlineStr">
        <is>
          <t>LZ-131</t>
        </is>
      </c>
      <c r="B73" s="3" t="inlineStr">
        <is>
          <t>Admin Console</t>
        </is>
      </c>
      <c r="C73" s="4" t="inlineStr">
        <is>
          <t>As a Lizmo admin, I want to confirm or reject a payment so that accounts reflect reality</t>
        </is>
      </c>
      <c r="D73" s="4" t="inlineStr">
        <is>
          <t>Confirm and reject available only on pending rows; rejection requires remarks</t>
        </is>
      </c>
      <c r="E73" s="3" t="inlineStr">
        <is>
          <t>Admin Web</t>
        </is>
      </c>
      <c r="F73" s="3" t="inlineStr">
        <is>
          <t>Must</t>
        </is>
      </c>
      <c r="G73" s="5" t="n">
        <v>5</v>
      </c>
      <c r="H73" s="7" t="inlineStr">
        <is>
          <t>Not Started</t>
        </is>
      </c>
      <c r="I73" s="3" t="inlineStr">
        <is>
          <t>Tech §3.9</t>
        </is>
      </c>
    </row>
    <row r="74">
      <c r="A74" s="2" t="inlineStr">
        <is>
          <t>LZ-132</t>
        </is>
      </c>
      <c r="B74" s="3" t="inlineStr">
        <is>
          <t>Admin Console</t>
        </is>
      </c>
      <c r="C74" s="4" t="inlineStr">
        <is>
          <t>As a Lizmo admin, I want admin routes closed to everyone else so that landlords cannot self-approve</t>
        </is>
      </c>
      <c r="D74" s="4" t="inlineStr">
        <is>
          <t>Routes require a platform_admins record; landlord staff are refused</t>
        </is>
      </c>
      <c r="E74" s="3" t="inlineStr">
        <is>
          <t>Backend</t>
        </is>
      </c>
      <c r="F74" s="3" t="inlineStr">
        <is>
          <t>Must</t>
        </is>
      </c>
      <c r="G74" s="5" t="n">
        <v>5</v>
      </c>
      <c r="H74" s="7" t="inlineStr">
        <is>
          <t>Not Started</t>
        </is>
      </c>
      <c r="I74" s="3" t="inlineStr">
        <is>
          <t>Tech §3.9</t>
        </is>
      </c>
    </row>
    <row r="75">
      <c r="A75" s="2" t="inlineStr">
        <is>
          <t>LZ-133</t>
        </is>
      </c>
      <c r="B75" s="3" t="inlineStr">
        <is>
          <t>Admin Console</t>
        </is>
      </c>
      <c r="C75" s="4" t="inlineStr">
        <is>
          <t>As a Lizmo admin, I want to see overdue accounts so that I can chase them before lockout</t>
        </is>
      </c>
      <c r="D75" s="4" t="inlineStr">
        <is>
          <t>Filterable by status; locked accounts distinguishable at a glance</t>
        </is>
      </c>
      <c r="E75" s="3" t="inlineStr">
        <is>
          <t>Admin Web</t>
        </is>
      </c>
      <c r="F75" s="3" t="inlineStr">
        <is>
          <t>Should</t>
        </is>
      </c>
      <c r="G75" s="5" t="n">
        <v>3</v>
      </c>
      <c r="H75" s="7" t="inlineStr">
        <is>
          <t>Not Started</t>
        </is>
      </c>
      <c r="I75" s="3" t="inlineStr">
        <is>
          <t>Tech §3.9</t>
        </is>
      </c>
    </row>
    <row r="76">
      <c r="A76" s="2" t="inlineStr">
        <is>
          <t>LZ-140</t>
        </is>
      </c>
      <c r="B76" s="3" t="inlineStr">
        <is>
          <t>Deployment &amp; Operations</t>
        </is>
      </c>
      <c r="C76" s="4" t="inlineStr">
        <is>
          <t>As an operator, I want infrastructure defined as code so that the environment is reproducible</t>
        </is>
      </c>
      <c r="D76" s="4" t="inlineStr">
        <is>
          <t>Terraform for Cloud Run, Storage, Secret Manager, Artifact Registry and Scheduler</t>
        </is>
      </c>
      <c r="E76" s="3" t="inlineStr">
        <is>
          <t>Infra</t>
        </is>
      </c>
      <c r="F76" s="3" t="inlineStr">
        <is>
          <t>Must</t>
        </is>
      </c>
      <c r="G76" s="5" t="n">
        <v>8</v>
      </c>
      <c r="H76" s="8" t="inlineStr">
        <is>
          <t>In Progress</t>
        </is>
      </c>
      <c r="I76" s="3" t="inlineStr">
        <is>
          <t>infra/gcp</t>
        </is>
      </c>
    </row>
    <row r="77">
      <c r="A77" s="2" t="inlineStr">
        <is>
          <t>LZ-141</t>
        </is>
      </c>
      <c r="B77" s="3" t="inlineStr">
        <is>
          <t>Deployment &amp; Operations</t>
        </is>
      </c>
      <c r="C77" s="4" t="inlineStr">
        <is>
          <t>As an operator, I want a budget alert so that a free-tier project cannot bill me silently</t>
        </is>
      </c>
      <c r="D77" s="4" t="inlineStr">
        <is>
          <t>Alert configured with a threshold; notification reaches a real address</t>
        </is>
      </c>
      <c r="E77" s="3" t="inlineStr">
        <is>
          <t>Infra</t>
        </is>
      </c>
      <c r="F77" s="3" t="inlineStr">
        <is>
          <t>Must</t>
        </is>
      </c>
      <c r="G77" s="5" t="n">
        <v>2</v>
      </c>
      <c r="H77" s="7" t="inlineStr">
        <is>
          <t>Not Started</t>
        </is>
      </c>
      <c r="I77" s="3" t="inlineStr">
        <is>
          <t>infra/gcp</t>
        </is>
      </c>
    </row>
    <row r="78">
      <c r="A78" s="2" t="inlineStr">
        <is>
          <t>LZ-142</t>
        </is>
      </c>
      <c r="B78" s="3" t="inlineStr">
        <is>
          <t>Deployment &amp; Operations</t>
        </is>
      </c>
      <c r="C78" s="4" t="inlineStr">
        <is>
          <t>As a developer, I want pushes deployed automatically so that releasing is not a manual ritual</t>
        </is>
      </c>
      <c r="D78" s="4" t="inlineStr">
        <is>
          <t>Image built, pushed and deployed to Cloud Run on merge to main</t>
        </is>
      </c>
      <c r="E78" s="3" t="inlineStr">
        <is>
          <t>Infra</t>
        </is>
      </c>
      <c r="F78" s="3" t="inlineStr">
        <is>
          <t>Should</t>
        </is>
      </c>
      <c r="G78" s="5" t="n">
        <v>5</v>
      </c>
      <c r="H78" s="7" t="inlineStr">
        <is>
          <t>Not Started</t>
        </is>
      </c>
      <c r="I78" s="3" t="inlineStr">
        <is>
          <t>infra/gcp</t>
        </is>
      </c>
    </row>
    <row r="79">
      <c r="A79" s="2" t="inlineStr">
        <is>
          <t>LZ-143</t>
        </is>
      </c>
      <c r="B79" s="3" t="inlineStr">
        <is>
          <t>Deployment &amp; Operations</t>
        </is>
      </c>
      <c r="C79" s="4" t="inlineStr">
        <is>
          <t>As an operator, I want scheduled jobs to run outside the app so that they fire while it sleeps</t>
        </is>
      </c>
      <c r="D79" s="4" t="inlineStr">
        <is>
          <t>Cloud Scheduler invokes internal endpoints with OIDC; endpoints verify the token</t>
        </is>
      </c>
      <c r="E79" s="3" t="inlineStr">
        <is>
          <t>Backend</t>
        </is>
      </c>
      <c r="F79" s="3" t="inlineStr">
        <is>
          <t>Must</t>
        </is>
      </c>
      <c r="G79" s="5" t="n">
        <v>5</v>
      </c>
      <c r="H79" s="7" t="inlineStr">
        <is>
          <t>Not Started</t>
        </is>
      </c>
      <c r="I79" s="3" t="inlineStr">
        <is>
          <t>infra/gcp</t>
        </is>
      </c>
    </row>
    <row r="80">
      <c r="A80" s="2" t="inlineStr">
        <is>
          <t>LZ-144</t>
        </is>
      </c>
      <c r="B80" s="3" t="inlineStr">
        <is>
          <t>Deployment &amp; Operations</t>
        </is>
      </c>
      <c r="C80" s="4" t="inlineStr">
        <is>
          <t>As an operator, I want production storage on Cloud Storage so that the last AWS dependency is gone</t>
        </is>
      </c>
      <c r="D80" s="4" t="inlineStr">
        <is>
          <t>S3 client replaced; presigned URLs issued via the service account</t>
        </is>
      </c>
      <c r="E80" s="3" t="inlineStr">
        <is>
          <t>Backend</t>
        </is>
      </c>
      <c r="F80" s="3" t="inlineStr">
        <is>
          <t>Must</t>
        </is>
      </c>
      <c r="G80" s="5" t="n">
        <v>5</v>
      </c>
      <c r="H80" s="7" t="inlineStr">
        <is>
          <t>Not Started</t>
        </is>
      </c>
      <c r="I80" s="3" t="inlineStr">
        <is>
          <t>infra/gcp</t>
        </is>
      </c>
    </row>
    <row r="81">
      <c r="A81" s="2" t="inlineStr">
        <is>
          <t>LZ-145</t>
        </is>
      </c>
      <c r="B81" s="3" t="inlineStr">
        <is>
          <t>Deployment &amp; Operations</t>
        </is>
      </c>
      <c r="C81" s="4" t="inlineStr">
        <is>
          <t>As an operator, I want alerting on the API so that I hear about downtime before users do</t>
        </is>
      </c>
      <c r="D81" s="4" t="inlineStr">
        <is>
          <t>Uptime check on /actuator/health with a notification channel</t>
        </is>
      </c>
      <c r="E81" s="3" t="inlineStr">
        <is>
          <t>Infra</t>
        </is>
      </c>
      <c r="F81" s="3" t="inlineStr">
        <is>
          <t>Should</t>
        </is>
      </c>
      <c r="G81" s="5" t="n">
        <v>3</v>
      </c>
      <c r="H81" s="7" t="inlineStr">
        <is>
          <t>Not Started</t>
        </is>
      </c>
      <c r="I81" s="3" t="inlineStr">
        <is>
          <t>—</t>
        </is>
      </c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66" customWidth="1" min="3" max="3"/>
    <col width="9" customWidth="1" min="4" max="4"/>
    <col width="9" customWidth="1" min="5" max="5"/>
    <col width="8" customWidth="1" min="6" max="6"/>
    <col width="12" customWidth="1" min="7" max="7"/>
    <col width="12" customWidth="1" min="8" max="8"/>
  </cols>
  <sheetData>
    <row r="1" ht="30" customHeight="1">
      <c r="A1" s="1" t="inlineStr">
        <is>
          <t>Epic ID</t>
        </is>
      </c>
      <c r="B1" s="1" t="inlineStr">
        <is>
          <t>Epic</t>
        </is>
      </c>
      <c r="C1" s="1" t="inlineStr">
        <is>
          <t>Goal</t>
        </is>
      </c>
      <c r="D1" s="1" t="inlineStr">
        <is>
          <t>Stories</t>
        </is>
      </c>
      <c r="E1" s="1" t="inlineStr">
        <is>
          <t>Points</t>
        </is>
      </c>
      <c r="F1" s="1" t="inlineStr">
        <is>
          <t>Done</t>
        </is>
      </c>
      <c r="G1" s="1" t="inlineStr">
        <is>
          <t>Points done</t>
        </is>
      </c>
      <c r="H1" s="1" t="inlineStr">
        <is>
          <t>% complete</t>
        </is>
      </c>
    </row>
    <row r="2">
      <c r="A2" s="9" t="inlineStr">
        <is>
          <t>E1</t>
        </is>
      </c>
      <c r="B2" s="9" t="inlineStr">
        <is>
          <t>Foundation &amp; Developer Experience</t>
        </is>
      </c>
      <c r="C2" s="10" t="inlineStr">
        <is>
          <t>The stack runs locally, the schema is versioned, and contracts are generated rather than hand-kept</t>
        </is>
      </c>
      <c r="D2" s="11">
        <f>COUNTIF(Backlog!$B$2:$B$81,$B2)</f>
        <v/>
      </c>
      <c r="E2" s="11">
        <f>SUMIF(Backlog!$B$2:$B$81,$B2,Backlog!$G$2:$G$81)</f>
        <v/>
      </c>
      <c r="F2" s="11">
        <f>COUNTIFS(Backlog!$B$2:$B$81,$B2,Backlog!$H$2:$H$81,"Done")</f>
        <v/>
      </c>
      <c r="G2" s="11">
        <f>SUMIFS(Backlog!$G$2:$G$81,Backlog!$B$2:$B$81,$B2,Backlog!$H$2:$H$81,"Done")</f>
        <v/>
      </c>
      <c r="H2" s="12">
        <f>IF($E2=0,0,$G2/$E2)</f>
        <v/>
      </c>
    </row>
    <row r="3">
      <c r="A3" s="9" t="inlineStr">
        <is>
          <t>E2</t>
        </is>
      </c>
      <c r="B3" s="9" t="inlineStr">
        <is>
          <t>Design System</t>
        </is>
      </c>
      <c r="C3" s="10" t="inlineStr">
        <is>
          <t>One visual language, shared by both clients, matching design language v2</t>
        </is>
      </c>
      <c r="D3" s="11">
        <f>COUNTIF(Backlog!$B$2:$B$81,$B3)</f>
        <v/>
      </c>
      <c r="E3" s="11">
        <f>SUMIF(Backlog!$B$2:$B$81,$B3,Backlog!$G$2:$G$81)</f>
        <v/>
      </c>
      <c r="F3" s="11">
        <f>COUNTIFS(Backlog!$B$2:$B$81,$B3,Backlog!$H$2:$H$81,"Done")</f>
        <v/>
      </c>
      <c r="G3" s="11">
        <f>SUMIFS(Backlog!$G$2:$G$81,Backlog!$B$2:$B$81,$B3,Backlog!$H$2:$H$81,"Done")</f>
        <v/>
      </c>
      <c r="H3" s="12">
        <f>IF($E3=0,0,$G3/$E3)</f>
        <v/>
      </c>
    </row>
    <row r="4">
      <c r="A4" s="9" t="inlineStr">
        <is>
          <t>E3</t>
        </is>
      </c>
      <c r="B4" s="9" t="inlineStr">
        <is>
          <t>Accounts &amp; Access</t>
        </is>
      </c>
      <c r="C4" s="10" t="inlineStr">
        <is>
          <t>Identity, sessions, and the authorisation rules that keep landlords and tenants apart</t>
        </is>
      </c>
      <c r="D4" s="11">
        <f>COUNTIF(Backlog!$B$2:$B$81,$B4)</f>
        <v/>
      </c>
      <c r="E4" s="11">
        <f>SUMIF(Backlog!$B$2:$B$81,$B4,Backlog!$G$2:$G$81)</f>
        <v/>
      </c>
      <c r="F4" s="11">
        <f>COUNTIFS(Backlog!$B$2:$B$81,$B4,Backlog!$H$2:$H$81,"Done")</f>
        <v/>
      </c>
      <c r="G4" s="11">
        <f>SUMIFS(Backlog!$G$2:$G$81,Backlog!$B$2:$B$81,$B4,Backlog!$H$2:$H$81,"Done")</f>
        <v/>
      </c>
      <c r="H4" s="12">
        <f>IF($E4=0,0,$G4/$E4)</f>
        <v/>
      </c>
    </row>
    <row r="5">
      <c r="A5" s="9" t="inlineStr">
        <is>
          <t>E4</t>
        </is>
      </c>
      <c r="B5" s="9" t="inlineStr">
        <is>
          <t>Property, Unit &amp; Bed</t>
        </is>
      </c>
      <c r="C5" s="10" t="inlineStr">
        <is>
          <t>The rentable inventory, including bedspaces as first-class things</t>
        </is>
      </c>
      <c r="D5" s="11">
        <f>COUNTIF(Backlog!$B$2:$B$81,$B5)</f>
        <v/>
      </c>
      <c r="E5" s="11">
        <f>SUMIF(Backlog!$B$2:$B$81,$B5,Backlog!$G$2:$G$81)</f>
        <v/>
      </c>
      <c r="F5" s="11">
        <f>COUNTIFS(Backlog!$B$2:$B$81,$B5,Backlog!$H$2:$H$81,"Done")</f>
        <v/>
      </c>
      <c r="G5" s="11">
        <f>SUMIFS(Backlog!$G$2:$G$81,Backlog!$B$2:$B$81,$B5,Backlog!$H$2:$H$81,"Done")</f>
        <v/>
      </c>
      <c r="H5" s="12">
        <f>IF($E5=0,0,$G5/$E5)</f>
        <v/>
      </c>
    </row>
    <row r="6">
      <c r="A6" s="9" t="inlineStr">
        <is>
          <t>E5</t>
        </is>
      </c>
      <c r="B6" s="9" t="inlineStr">
        <is>
          <t>Leases</t>
        </is>
      </c>
      <c r="C6" s="10" t="inlineStr">
        <is>
          <t>Attaching a tenant to a unit or bed, with landlord-controlled due dates</t>
        </is>
      </c>
      <c r="D6" s="11">
        <f>COUNTIF(Backlog!$B$2:$B$81,$B6)</f>
        <v/>
      </c>
      <c r="E6" s="11">
        <f>SUMIF(Backlog!$B$2:$B$81,$B6,Backlog!$G$2:$G$81)</f>
        <v/>
      </c>
      <c r="F6" s="11">
        <f>COUNTIFS(Backlog!$B$2:$B$81,$B6,Backlog!$H$2:$H$81,"Done")</f>
        <v/>
      </c>
      <c r="G6" s="11">
        <f>SUMIFS(Backlog!$G$2:$G$81,Backlog!$B$2:$B$81,$B6,Backlog!$H$2:$H$81,"Done")</f>
        <v/>
      </c>
      <c r="H6" s="12">
        <f>IF($E6=0,0,$G6/$E6)</f>
        <v/>
      </c>
    </row>
    <row r="7">
      <c r="A7" s="9" t="inlineStr">
        <is>
          <t>E6</t>
        </is>
      </c>
      <c r="B7" s="9" t="inlineStr">
        <is>
          <t>Billing &amp; Payments</t>
        </is>
      </c>
      <c r="C7" s="10" t="inlineStr">
        <is>
          <t>Rent tracked per period and settled by proof-of-payment, with no gateway</t>
        </is>
      </c>
      <c r="D7" s="11">
        <f>COUNTIF(Backlog!$B$2:$B$81,$B7)</f>
        <v/>
      </c>
      <c r="E7" s="11">
        <f>SUMIF(Backlog!$B$2:$B$81,$B7,Backlog!$G$2:$G$81)</f>
        <v/>
      </c>
      <c r="F7" s="11">
        <f>COUNTIFS(Backlog!$B$2:$B$81,$B7,Backlog!$H$2:$H$81,"Done")</f>
        <v/>
      </c>
      <c r="G7" s="11">
        <f>SUMIFS(Backlog!$G$2:$G$81,Backlog!$B$2:$B$81,$B7,Backlog!$H$2:$H$81,"Done")</f>
        <v/>
      </c>
      <c r="H7" s="12">
        <f>IF($E7=0,0,$G7/$E7)</f>
        <v/>
      </c>
    </row>
    <row r="8">
      <c r="A8" s="9" t="inlineStr">
        <is>
          <t>E7</t>
        </is>
      </c>
      <c r="B8" s="9" t="inlineStr">
        <is>
          <t>Maintenance</t>
        </is>
      </c>
      <c r="C8" s="10" t="inlineStr">
        <is>
          <t>Tenants report problems in plain words; landlords track them to done</t>
        </is>
      </c>
      <c r="D8" s="11">
        <f>COUNTIF(Backlog!$B$2:$B$81,$B8)</f>
        <v/>
      </c>
      <c r="E8" s="11">
        <f>SUMIF(Backlog!$B$2:$B$81,$B8,Backlog!$G$2:$G$81)</f>
        <v/>
      </c>
      <c r="F8" s="11">
        <f>COUNTIFS(Backlog!$B$2:$B$81,$B8,Backlog!$H$2:$H$81,"Done")</f>
        <v/>
      </c>
      <c r="G8" s="11">
        <f>SUMIFS(Backlog!$G$2:$G$81,Backlog!$B$2:$B$81,$B8,Backlog!$H$2:$H$81,"Done")</f>
        <v/>
      </c>
      <c r="H8" s="12">
        <f>IF($E8=0,0,$G8/$E8)</f>
        <v/>
      </c>
    </row>
    <row r="9">
      <c r="A9" s="9" t="inlineStr">
        <is>
          <t>E8</t>
        </is>
      </c>
      <c r="B9" s="9" t="inlineStr">
        <is>
          <t>Staff</t>
        </is>
      </c>
      <c r="C9" s="10" t="inlineStr">
        <is>
          <t>Per-property caretakers with granular, revocable permissions</t>
        </is>
      </c>
      <c r="D9" s="11">
        <f>COUNTIF(Backlog!$B$2:$B$81,$B9)</f>
        <v/>
      </c>
      <c r="E9" s="11">
        <f>SUMIF(Backlog!$B$2:$B$81,$B9,Backlog!$G$2:$G$81)</f>
        <v/>
      </c>
      <c r="F9" s="11">
        <f>COUNTIFS(Backlog!$B$2:$B$81,$B9,Backlog!$H$2:$H$81,"Done")</f>
        <v/>
      </c>
      <c r="G9" s="11">
        <f>SUMIFS(Backlog!$G$2:$G$81,Backlog!$B$2:$B$81,$B9,Backlog!$H$2:$H$81,"Done")</f>
        <v/>
      </c>
      <c r="H9" s="12">
        <f>IF($E9=0,0,$G9/$E9)</f>
        <v/>
      </c>
    </row>
    <row r="10">
      <c r="A10" s="9" t="inlineStr">
        <is>
          <t>E9</t>
        </is>
      </c>
      <c r="B10" s="9" t="inlineStr">
        <is>
          <t>Documents</t>
        </is>
      </c>
      <c r="C10" s="10" t="inlineStr">
        <is>
          <t>Contracts, IDs and receipts attached to the record they belong to</t>
        </is>
      </c>
      <c r="D10" s="11">
        <f>COUNTIF(Backlog!$B$2:$B$81,$B10)</f>
        <v/>
      </c>
      <c r="E10" s="11">
        <f>SUMIF(Backlog!$B$2:$B$81,$B10,Backlog!$G$2:$G$81)</f>
        <v/>
      </c>
      <c r="F10" s="11">
        <f>COUNTIFS(Backlog!$B$2:$B$81,$B10,Backlog!$H$2:$H$81,"Done")</f>
        <v/>
      </c>
      <c r="G10" s="11">
        <f>SUMIFS(Backlog!$G$2:$G$81,Backlog!$B$2:$B$81,$B10,Backlog!$H$2:$H$81,"Done")</f>
        <v/>
      </c>
      <c r="H10" s="12">
        <f>IF($E10=0,0,$G10/$E10)</f>
        <v/>
      </c>
    </row>
    <row r="11">
      <c r="A11" s="9" t="inlineStr">
        <is>
          <t>E10</t>
        </is>
      </c>
      <c r="B11" s="9" t="inlineStr">
        <is>
          <t>Notices</t>
        </is>
      </c>
      <c r="C11" s="10" t="inlineStr">
        <is>
          <t>Announcements with dynamic audience, expiry and read receipts</t>
        </is>
      </c>
      <c r="D11" s="11">
        <f>COUNTIF(Backlog!$B$2:$B$81,$B11)</f>
        <v/>
      </c>
      <c r="E11" s="11">
        <f>SUMIF(Backlog!$B$2:$B$81,$B11,Backlog!$G$2:$G$81)</f>
        <v/>
      </c>
      <c r="F11" s="11">
        <f>COUNTIFS(Backlog!$B$2:$B$81,$B11,Backlog!$H$2:$H$81,"Done")</f>
        <v/>
      </c>
      <c r="G11" s="11">
        <f>SUMIFS(Backlog!$G$2:$G$81,Backlog!$B$2:$B$81,$B11,Backlog!$H$2:$H$81,"Done")</f>
        <v/>
      </c>
      <c r="H11" s="12">
        <f>IF($E11=0,0,$G11/$E11)</f>
        <v/>
      </c>
    </row>
    <row r="12">
      <c r="A12" s="9" t="inlineStr">
        <is>
          <t>E11</t>
        </is>
      </c>
      <c r="B12" s="9" t="inlineStr">
        <is>
          <t>Notifications</t>
        </is>
      </c>
      <c r="C12" s="10" t="inlineStr">
        <is>
          <t>In-app signals for rent, payments, maintenance and notices</t>
        </is>
      </c>
      <c r="D12" s="11">
        <f>COUNTIF(Backlog!$B$2:$B$81,$B12)</f>
        <v/>
      </c>
      <c r="E12" s="11">
        <f>SUMIF(Backlog!$B$2:$B$81,$B12,Backlog!$G$2:$G$81)</f>
        <v/>
      </c>
      <c r="F12" s="11">
        <f>COUNTIFS(Backlog!$B$2:$B$81,$B12,Backlog!$H$2:$H$81,"Done")</f>
        <v/>
      </c>
      <c r="G12" s="11">
        <f>SUMIFS(Backlog!$G$2:$G$81,Backlog!$B$2:$B$81,$B12,Backlog!$H$2:$H$81,"Done")</f>
        <v/>
      </c>
      <c r="H12" s="12">
        <f>IF($E12=0,0,$G12/$E12)</f>
        <v/>
      </c>
    </row>
    <row r="13">
      <c r="A13" s="9" t="inlineStr">
        <is>
          <t>E12</t>
        </is>
      </c>
      <c r="B13" s="9" t="inlineStr">
        <is>
          <t>Reporting</t>
        </is>
      </c>
      <c r="C13" s="10" t="inlineStr">
        <is>
          <t>Occupancy, income, overdue and maintenance views over live data</t>
        </is>
      </c>
      <c r="D13" s="11">
        <f>COUNTIF(Backlog!$B$2:$B$81,$B13)</f>
        <v/>
      </c>
      <c r="E13" s="11">
        <f>SUMIF(Backlog!$B$2:$B$81,$B13,Backlog!$G$2:$G$81)</f>
        <v/>
      </c>
      <c r="F13" s="11">
        <f>COUNTIFS(Backlog!$B$2:$B$81,$B13,Backlog!$H$2:$H$81,"Done")</f>
        <v/>
      </c>
      <c r="G13" s="11">
        <f>SUMIFS(Backlog!$G$2:$G$81,Backlog!$B$2:$B$81,$B13,Backlog!$H$2:$H$81,"Done")</f>
        <v/>
      </c>
      <c r="H13" s="12">
        <f>IF($E13=0,0,$G13/$E13)</f>
        <v/>
      </c>
    </row>
    <row r="14">
      <c r="A14" s="9" t="inlineStr">
        <is>
          <t>E13</t>
        </is>
      </c>
      <c r="B14" s="9" t="inlineStr">
        <is>
          <t>Platform Billing</t>
        </is>
      </c>
      <c r="C14" s="10" t="inlineStr">
        <is>
          <t>Lizmo's own revenue: per-slot invoicing, collection and enforcement</t>
        </is>
      </c>
      <c r="D14" s="11">
        <f>COUNTIF(Backlog!$B$2:$B$81,$B14)</f>
        <v/>
      </c>
      <c r="E14" s="11">
        <f>SUMIF(Backlog!$B$2:$B$81,$B14,Backlog!$G$2:$G$81)</f>
        <v/>
      </c>
      <c r="F14" s="11">
        <f>COUNTIFS(Backlog!$B$2:$B$81,$B14,Backlog!$H$2:$H$81,"Done")</f>
        <v/>
      </c>
      <c r="G14" s="11">
        <f>SUMIFS(Backlog!$G$2:$G$81,Backlog!$B$2:$B$81,$B14,Backlog!$H$2:$H$81,"Done")</f>
        <v/>
      </c>
      <c r="H14" s="12">
        <f>IF($E14=0,0,$G14/$E14)</f>
        <v/>
      </c>
    </row>
    <row r="15">
      <c r="A15" s="9" t="inlineStr">
        <is>
          <t>E14</t>
        </is>
      </c>
      <c r="B15" s="9" t="inlineStr">
        <is>
          <t>Admin Console</t>
        </is>
      </c>
      <c r="C15" s="10" t="inlineStr">
        <is>
          <t>Internal tooling for verifying platform payments and chasing overdue accounts</t>
        </is>
      </c>
      <c r="D15" s="11">
        <f>COUNTIF(Backlog!$B$2:$B$81,$B15)</f>
        <v/>
      </c>
      <c r="E15" s="11">
        <f>SUMIF(Backlog!$B$2:$B$81,$B15,Backlog!$G$2:$G$81)</f>
        <v/>
      </c>
      <c r="F15" s="11">
        <f>COUNTIFS(Backlog!$B$2:$B$81,$B15,Backlog!$H$2:$H$81,"Done")</f>
        <v/>
      </c>
      <c r="G15" s="11">
        <f>SUMIFS(Backlog!$G$2:$G$81,Backlog!$B$2:$B$81,$B15,Backlog!$H$2:$H$81,"Done")</f>
        <v/>
      </c>
      <c r="H15" s="12">
        <f>IF($E15=0,0,$G15/$E15)</f>
        <v/>
      </c>
    </row>
    <row r="16">
      <c r="A16" s="9" t="inlineStr">
        <is>
          <t>E15</t>
        </is>
      </c>
      <c r="B16" s="9" t="inlineStr">
        <is>
          <t>Deployment &amp; Operations</t>
        </is>
      </c>
      <c r="C16" s="10" t="inlineStr">
        <is>
          <t>Reproducible infrastructure, automated releases and basic observability</t>
        </is>
      </c>
      <c r="D16" s="11">
        <f>COUNTIF(Backlog!$B$2:$B$81,$B16)</f>
        <v/>
      </c>
      <c r="E16" s="11">
        <f>SUMIF(Backlog!$B$2:$B$81,$B16,Backlog!$G$2:$G$81)</f>
        <v/>
      </c>
      <c r="F16" s="11">
        <f>COUNTIFS(Backlog!$B$2:$B$81,$B16,Backlog!$H$2:$H$81,"Done")</f>
        <v/>
      </c>
      <c r="G16" s="11">
        <f>SUMIFS(Backlog!$G$2:$G$81,Backlog!$B$2:$B$81,$B16,Backlog!$H$2:$H$81,"Done")</f>
        <v/>
      </c>
      <c r="H16" s="12">
        <f>IF($E16=0,0,$G16/$E16)</f>
        <v/>
      </c>
    </row>
    <row r="17">
      <c r="A17" s="13" t="n"/>
      <c r="B17" s="13" t="inlineStr">
        <is>
          <t>Total</t>
        </is>
      </c>
      <c r="C17" s="14" t="n"/>
      <c r="D17" s="15">
        <f>SUM(D2:D17)</f>
        <v/>
      </c>
      <c r="E17" s="15">
        <f>SUM(E2:E17)</f>
        <v/>
      </c>
      <c r="F17" s="15">
        <f>SUM(F2:F17)</f>
        <v/>
      </c>
      <c r="G17" s="15">
        <f>SUM(G2:G17)</f>
        <v/>
      </c>
      <c r="H17" s="16">
        <f>IF($E17=0,0,$G17/$E17)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8" customWidth="1" min="3" max="3"/>
  </cols>
  <sheetData>
    <row r="1" ht="30" customHeight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s="3" t="inlineStr">
        <is>
          <t>Status</t>
        </is>
      </c>
      <c r="B2" s="2" t="inlineStr">
        <is>
          <t>Done</t>
        </is>
      </c>
      <c r="C2" s="4" t="inlineStr">
        <is>
          <t>Built and verified against a running system</t>
        </is>
      </c>
    </row>
    <row r="3">
      <c r="A3" s="3" t="inlineStr">
        <is>
          <t>Status</t>
        </is>
      </c>
      <c r="B3" s="2" t="inlineStr">
        <is>
          <t>In Progress</t>
        </is>
      </c>
      <c r="C3" s="4" t="inlineStr">
        <is>
          <t>Started; see the note in the commit history for what remains</t>
        </is>
      </c>
    </row>
    <row r="4">
      <c r="A4" s="3" t="inlineStr">
        <is>
          <t>Status</t>
        </is>
      </c>
      <c r="B4" s="2" t="inlineStr">
        <is>
          <t>Not Started</t>
        </is>
      </c>
      <c r="C4" s="4" t="inlineStr">
        <is>
          <t>Not begun</t>
        </is>
      </c>
    </row>
    <row r="5">
      <c r="A5" s="3" t="inlineStr">
        <is>
          <t>Status</t>
        </is>
      </c>
      <c r="B5" s="2" t="inlineStr">
        <is>
          <t>Blocked</t>
        </is>
      </c>
      <c r="C5" s="4" t="inlineStr">
        <is>
          <t>Cannot proceed until something else lands</t>
        </is>
      </c>
    </row>
    <row r="6">
      <c r="A6" s="3" t="inlineStr">
        <is>
          <t>Priority</t>
        </is>
      </c>
      <c r="B6" s="2" t="inlineStr">
        <is>
          <t>Must</t>
        </is>
      </c>
      <c r="C6" s="4" t="inlineStr">
        <is>
          <t>MVP does not ship without it</t>
        </is>
      </c>
    </row>
    <row r="7">
      <c r="A7" s="3" t="inlineStr">
        <is>
          <t>Priority</t>
        </is>
      </c>
      <c r="B7" s="2" t="inlineStr">
        <is>
          <t>Should</t>
        </is>
      </c>
      <c r="C7" s="4" t="inlineStr">
        <is>
          <t>Expected in MVP, but could slip a release</t>
        </is>
      </c>
    </row>
    <row r="8">
      <c r="A8" s="3" t="inlineStr">
        <is>
          <t>Priority</t>
        </is>
      </c>
      <c r="B8" s="2" t="inlineStr">
        <is>
          <t>Could</t>
        </is>
      </c>
      <c r="C8" s="4" t="inlineStr">
        <is>
          <t>Valuable, not expected in MVP</t>
        </is>
      </c>
    </row>
    <row r="9">
      <c r="A9" s="3" t="inlineStr">
        <is>
          <t>Points</t>
        </is>
      </c>
      <c r="B9" s="2" t="inlineStr">
        <is>
          <t>1, 2, 3, 5, 8</t>
        </is>
      </c>
      <c r="C9" s="4" t="inlineStr">
        <is>
          <t>Relative effort, Fibonacci. 8 signals a story worth splitting</t>
        </is>
      </c>
    </row>
    <row r="10">
      <c r="A10" s="3" t="inlineStr">
        <is>
          <t>Component</t>
        </is>
      </c>
      <c r="B10" s="2" t="inlineStr">
        <is>
          <t>Backend</t>
        </is>
      </c>
      <c r="C10" s="4" t="inlineStr">
        <is>
          <t>Spring Boot API</t>
        </is>
      </c>
    </row>
    <row r="11">
      <c r="A11" s="3" t="inlineStr">
        <is>
          <t>Component</t>
        </is>
      </c>
      <c r="B11" s="2" t="inlineStr">
        <is>
          <t>Mobile</t>
        </is>
      </c>
      <c r="C11" s="4" t="inlineStr">
        <is>
          <t>Flutter app for landlord, tenant and staff</t>
        </is>
      </c>
    </row>
    <row r="12">
      <c r="A12" s="3" t="inlineStr">
        <is>
          <t>Component</t>
        </is>
      </c>
      <c r="B12" s="2" t="inlineStr">
        <is>
          <t>Admin Web</t>
        </is>
      </c>
      <c r="C12" s="4" t="inlineStr">
        <is>
          <t>Flutter web console for Lizmo staff</t>
        </is>
      </c>
    </row>
    <row r="13">
      <c r="A13" s="3" t="inlineStr">
        <is>
          <t>Component</t>
        </is>
      </c>
      <c r="B13" s="2" t="inlineStr">
        <is>
          <t>Shared</t>
        </is>
      </c>
      <c r="C13" s="4" t="inlineStr">
        <is>
          <t>Design system or generated client, used by both apps</t>
        </is>
      </c>
    </row>
    <row r="14">
      <c r="A14" s="3" t="inlineStr">
        <is>
          <t>Component</t>
        </is>
      </c>
      <c r="B14" s="2" t="inlineStr">
        <is>
          <t>Infra</t>
        </is>
      </c>
      <c r="C14" s="4" t="inlineStr">
        <is>
          <t>Docker, Terraform, CI</t>
        </is>
      </c>
    </row>
    <row r="15">
      <c r="A15" s="3" t="inlineStr">
        <is>
          <t>Spec ref</t>
        </is>
      </c>
      <c r="B15" s="2" t="inlineStr">
        <is>
          <t>Product §n</t>
        </is>
      </c>
      <c r="C15" s="4" t="inlineStr">
        <is>
          <t>Section of Lizmo_Product_Spec_v1.md</t>
        </is>
      </c>
    </row>
    <row r="16">
      <c r="A16" s="3" t="inlineStr">
        <is>
          <t>Spec ref</t>
        </is>
      </c>
      <c r="B16" s="2" t="inlineStr">
        <is>
          <t>Tech §n</t>
        </is>
      </c>
      <c r="C16" s="4" t="inlineStr">
        <is>
          <t>Section of Lizmo_Tech_Spec_v1.md</t>
        </is>
      </c>
    </row>
    <row r="17">
      <c r="A17" s="3" t="inlineStr">
        <is>
          <t>Spec ref</t>
        </is>
      </c>
      <c r="B17" s="2" t="inlineStr">
        <is>
          <t>Design v2</t>
        </is>
      </c>
      <c r="C17" s="4" t="inlineStr">
        <is>
          <t>lizmo_design_language_v2.html, the canonical design language</t>
        </is>
      </c>
    </row>
    <row r="19" ht="44" customHeight="1">
      <c r="A19" s="17" t="inlineStr">
        <is>
          <t>Note</t>
        </is>
      </c>
      <c r="B19" s="18" t="inlineStr">
        <is>
          <t>Statuses reflect the repository as of 14 Aug 2026. Stories are derived from Lizmo_Product_Spec_v1.md and Lizmo_Tech_Spec_v1.md; estimates are first-pass and unvalidated by any completed sprint.</t>
        </is>
      </c>
    </row>
  </sheetData>
  <mergeCells count="1">
    <mergeCell ref="B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2026-08-14T05:33:18Z</dcterms:created>
  <dcterms:modified xsi:type="dcterms:W3CDTF">2026-08-14T05:33:18Z</dcterms:modified>
</cp:coreProperties>
</file>